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PI India\"/>
    </mc:Choice>
  </mc:AlternateContent>
  <xr:revisionPtr revIDLastSave="0" documentId="13_ncr:1_{242B0F45-1043-4A50-ABD7-86A55071861D}" xr6:coauthVersionLast="47" xr6:coauthVersionMax="47" xr10:uidLastSave="{00000000-0000-0000-0000-000000000000}"/>
  <bookViews>
    <workbookView xWindow="-120" yWindow="-120" windowWidth="29040" windowHeight="15720" firstSheet="2" activeTab="2" xr2:uid="{6EE4E4B1-FDF8-4FC8-8329-AEC49F59862F}"/>
  </bookViews>
  <sheets>
    <sheet name="All_India_Index_Upto_April23 (1" sheetId="2" r:id="rId1"/>
    <sheet name="Working Data" sheetId="1" r:id="rId2"/>
    <sheet name="Problems" sheetId="4" r:id="rId3"/>
    <sheet name="1 .Broader categories" sheetId="5" r:id="rId4"/>
    <sheet name="2 .Y-O-Y CPI" sheetId="7" r:id="rId5"/>
    <sheet name="3 .Food Inflation" sheetId="8" r:id="rId6"/>
    <sheet name="4 .pandemic inflation" sheetId="9" r:id="rId7"/>
    <sheet name="5 .Oil Inflation" sheetId="11" r:id="rId8"/>
    <sheet name="Sheet1" sheetId="10" r:id="rId9"/>
    <sheet name="notes" sheetId="3" r:id="rId10"/>
  </sheets>
  <definedNames>
    <definedName name="_xlnm._FilterDatabase" localSheetId="4" hidden="1">'2 .Y-O-Y CPI'!$A$1:$D$223</definedName>
    <definedName name="_xlchart.v1.0" hidden="1">'1 .Broader categories'!$K$10:$K$16</definedName>
    <definedName name="_xlchart.v1.1" hidden="1">'1 .Broader categories'!$L$10:$L$16</definedName>
    <definedName name="_xlchart.v1.10" hidden="1">'1 .Broader categories'!$P$9</definedName>
    <definedName name="_xlchart.v1.11" hidden="1">'1 .Broader categories'!$Q$10:$Q$16</definedName>
    <definedName name="_xlchart.v1.12" hidden="1">'1 .Broader categories'!$Q$9</definedName>
    <definedName name="_xlchart.v1.2" hidden="1">'1 .Broader categories'!$L$9</definedName>
    <definedName name="_xlchart.v1.3" hidden="1">'1 .Broader categories'!$M$10:$M$16</definedName>
    <definedName name="_xlchart.v1.4" hidden="1">'1 .Broader categories'!$M$9</definedName>
    <definedName name="_xlchart.v1.5" hidden="1">'1 .Broader categories'!$N$10:$N$16</definedName>
    <definedName name="_xlchart.v1.6" hidden="1">'1 .Broader categories'!$N$9</definedName>
    <definedName name="_xlchart.v1.7" hidden="1">'1 .Broader categories'!$O$10:$O$16</definedName>
    <definedName name="_xlchart.v1.8" hidden="1">'1 .Broader categories'!$O$9</definedName>
    <definedName name="_xlchart.v1.9" hidden="1">'1 .Broader categories'!$P$10:$P$16</definedName>
    <definedName name="cer_pro">All_India_Index_Upto_April23__13[[#All],[Cereals and products]]</definedName>
    <definedName name="clothing_foot">All_India_Index_Upto_April23__13[[#All],[Clothing and footwear]]</definedName>
    <definedName name="clothings">All_India_Index_Upto_April23__13[[#All],[Clothing]]</definedName>
    <definedName name="education">All_India_Index_Upto_April23__13[[#All],[Education]]</definedName>
    <definedName name="egg">All_India_Index_Upto_April23__13[[#All],[Egg]]</definedName>
    <definedName name="ExternalData_1" localSheetId="5" hidden="1">'3 .Food Inflation'!$A$1:$P$367</definedName>
    <definedName name="ExternalData_1" localSheetId="0" hidden="1">'All_India_Index_Upto_April23 (1'!$A$1:$AD$373</definedName>
    <definedName name="ExternalData_1" localSheetId="1" hidden="1">'Working Data'!$A$1:$AD$367</definedName>
    <definedName name="Food_beverages">All_India_Index_Upto_April23__13[[#All],[Food and beverages]]</definedName>
    <definedName name="Food_buckets_avg">All_India_Index_Upto_April23__134[[#All],[Food buckts avg]]</definedName>
    <definedName name="Footware">All_India_Index_Upto_April23__13[[#All],[Footwear]]</definedName>
    <definedName name="fruits">All_India_Index_Upto_April23__13[[#All],[Fruits]]</definedName>
    <definedName name="Fuel_lights">All_India_Index_Upto_April23__13[[#All],[Fuel and light]]</definedName>
    <definedName name="General_index">All_India_Index_Upto_April23__13[[#All],[General index]]</definedName>
    <definedName name="health">All_India_Index_Upto_April23__13[[#All],[Health]]</definedName>
    <definedName name="house_goods_servies">All_India_Index_Upto_April23__13[[#All],[Household goods and services]]</definedName>
    <definedName name="Housing">All_India_Index_Upto_April23__13[[#All],[Housing]]</definedName>
    <definedName name="meat_fish">All_India_Index_Upto_April23__13[[#All],[Meat and fish]]</definedName>
    <definedName name="Milk_pro">All_India_Index_Upto_April23__13[[#All],[Milk and products]]</definedName>
    <definedName name="miscellaneous">All_India_Index_Upto_April23__13[[#All],[Miscellaneous]]</definedName>
    <definedName name="months">All_India_Index_Upto_April23__13[[#All],[Month]]</definedName>
    <definedName name="non_alcoholic">All_India_Index_Upto_April23__13[[#All],[Non-alcoholic beverages]]</definedName>
    <definedName name="oils_fts">All_India_Index_Upto_April23__13[[#All],[Oils and fats]]</definedName>
    <definedName name="pan_tabacco">All_India_Index_Upto_April23__13[[#All],[Pan, tobacco and intoxicants]]</definedName>
    <definedName name="persinal_care_effects">All_India_Index_Upto_April23__13[[#All],[Personal care and effects]]</definedName>
    <definedName name="pre_meal">All_India_Index_Upto_April23__13[[#All],[Prepared meals, snacks, sweets etc.]]</definedName>
    <definedName name="Pulses_prod">All_India_Index_Upto_April23__13[[#All],[Pulses and products]]</definedName>
    <definedName name="recreation_amusement">All_India_Index_Upto_April23__13[[#All],[Recreation and amusement]]</definedName>
    <definedName name="sector">All_India_Index_Upto_April23__13[[#All],[Sector]]</definedName>
    <definedName name="spices">All_India_Index_Upto_April23__13[[#All],[Spices]]</definedName>
    <definedName name="sugar_confections">All_India_Index_Upto_April23__13[[#All],[Sugar and Confectionery]]</definedName>
    <definedName name="trans_comu">All_India_Index_Upto_April23__13[[#All],[Transport and communication]]</definedName>
    <definedName name="vegetables">All_India_Index_Upto_April23__13[[#All],[Vegetables]]</definedName>
    <definedName name="year">All_India_Index_Upto_April23__13[[#All],[Year]]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1" l="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E7" i="11" a="1"/>
  <c r="E7" i="11" s="1"/>
  <c r="E29" i="11" a="1"/>
  <c r="E29" i="11" s="1"/>
  <c r="E28" i="11" a="1"/>
  <c r="E28" i="11" s="1"/>
  <c r="E27" i="11" a="1"/>
  <c r="E27" i="11" s="1"/>
  <c r="E26" i="11" a="1"/>
  <c r="E26" i="11" s="1"/>
  <c r="E25" i="11" a="1"/>
  <c r="E25" i="11" s="1"/>
  <c r="E24" i="11" a="1"/>
  <c r="E24" i="11" s="1"/>
  <c r="E23" i="11" a="1"/>
  <c r="E23" i="11" s="1"/>
  <c r="E22" i="11" a="1"/>
  <c r="E22" i="11" s="1"/>
  <c r="E21" i="11" a="1"/>
  <c r="E21" i="11" s="1"/>
  <c r="E20" i="11" a="1"/>
  <c r="E20" i="11" s="1"/>
  <c r="E19" i="11" a="1"/>
  <c r="E19" i="11" s="1"/>
  <c r="E18" i="11" a="1"/>
  <c r="E18" i="11" s="1"/>
  <c r="E17" i="11" a="1"/>
  <c r="E17" i="11" s="1"/>
  <c r="E16" i="11" a="1"/>
  <c r="E16" i="11" s="1"/>
  <c r="E15" i="11" a="1"/>
  <c r="E15" i="11" s="1"/>
  <c r="E14" i="11" a="1"/>
  <c r="E14" i="11" s="1"/>
  <c r="E13" i="11" a="1"/>
  <c r="E13" i="11" s="1"/>
  <c r="E12" i="11" a="1"/>
  <c r="E12" i="11" s="1"/>
  <c r="E11" i="11" a="1"/>
  <c r="E11" i="11" s="1"/>
  <c r="E10" i="11" a="1"/>
  <c r="E10" i="11" s="1"/>
  <c r="E9" i="11" a="1"/>
  <c r="E9" i="11" s="1"/>
  <c r="E8" i="11" a="1"/>
  <c r="E8" i="11" s="1"/>
  <c r="E6" i="11" a="1"/>
  <c r="E6" i="11" s="1"/>
  <c r="E5" i="11" a="1"/>
  <c r="E5" i="11" s="1"/>
  <c r="E4" i="11" a="1"/>
  <c r="E4" i="11" s="1"/>
  <c r="G29" i="9" a="1"/>
  <c r="G29" i="9" s="1"/>
  <c r="E35" i="9" a="1"/>
  <c r="E35" i="9" s="1"/>
  <c r="I36" i="9" a="1"/>
  <c r="I36" i="9" s="1"/>
  <c r="H36" i="9" a="1"/>
  <c r="H36" i="9" s="1"/>
  <c r="G36" i="9" a="1"/>
  <c r="G36" i="9" s="1"/>
  <c r="F36" i="9" a="1"/>
  <c r="F36" i="9" s="1"/>
  <c r="E36" i="9" a="1"/>
  <c r="E36" i="9" s="1"/>
  <c r="M20" i="9" s="1"/>
  <c r="I35" i="9" a="1"/>
  <c r="I35" i="9" s="1"/>
  <c r="H35" i="9" a="1"/>
  <c r="H35" i="9" s="1"/>
  <c r="G35" i="9" a="1"/>
  <c r="G35" i="9" s="1"/>
  <c r="F35" i="9" a="1"/>
  <c r="F35" i="9" s="1"/>
  <c r="E25" i="9" a="1"/>
  <c r="E25" i="9" s="1"/>
  <c r="I22" i="9" a="1"/>
  <c r="I22" i="9" s="1"/>
  <c r="H22" i="9" a="1"/>
  <c r="H22" i="9" s="1"/>
  <c r="G22" i="9" a="1"/>
  <c r="G22" i="9" s="1"/>
  <c r="F22" i="9" a="1"/>
  <c r="F22" i="9" s="1"/>
  <c r="E22" i="9" a="1"/>
  <c r="E22" i="9" s="1"/>
  <c r="I34" i="9" a="1"/>
  <c r="I34" i="9" s="1"/>
  <c r="H34" i="9" a="1"/>
  <c r="H34" i="9" s="1"/>
  <c r="G34" i="9" a="1"/>
  <c r="G34" i="9" s="1"/>
  <c r="F34" i="9" a="1"/>
  <c r="F34" i="9" s="1"/>
  <c r="E34" i="9" a="1"/>
  <c r="E34" i="9" s="1"/>
  <c r="I33" i="9" a="1"/>
  <c r="I33" i="9" s="1"/>
  <c r="H33" i="9" a="1"/>
  <c r="H33" i="9" s="1"/>
  <c r="G33" i="9" a="1"/>
  <c r="G33" i="9" s="1"/>
  <c r="F33" i="9" a="1"/>
  <c r="F33" i="9" s="1"/>
  <c r="E33" i="9" a="1"/>
  <c r="E33" i="9" s="1"/>
  <c r="I32" i="9" a="1"/>
  <c r="I32" i="9" s="1"/>
  <c r="H32" i="9" a="1"/>
  <c r="H32" i="9" s="1"/>
  <c r="G32" i="9" a="1"/>
  <c r="G32" i="9" s="1"/>
  <c r="F32" i="9" a="1"/>
  <c r="F32" i="9" s="1"/>
  <c r="E32" i="9" a="1"/>
  <c r="E32" i="9" s="1"/>
  <c r="I31" i="9" a="1"/>
  <c r="I31" i="9" s="1"/>
  <c r="H31" i="9" a="1"/>
  <c r="H31" i="9" s="1"/>
  <c r="G31" i="9" a="1"/>
  <c r="G31" i="9" s="1"/>
  <c r="F31" i="9" a="1"/>
  <c r="F31" i="9" s="1"/>
  <c r="E31" i="9" a="1"/>
  <c r="E31" i="9" s="1"/>
  <c r="I30" i="9" a="1"/>
  <c r="I30" i="9" s="1"/>
  <c r="H30" i="9" a="1"/>
  <c r="H30" i="9" s="1"/>
  <c r="G30" i="9" a="1"/>
  <c r="G30" i="9" s="1"/>
  <c r="F30" i="9" a="1"/>
  <c r="F30" i="9" s="1"/>
  <c r="E30" i="9" a="1"/>
  <c r="E30" i="9" s="1"/>
  <c r="I29" i="9" a="1"/>
  <c r="I29" i="9" s="1"/>
  <c r="H29" i="9" a="1"/>
  <c r="H29" i="9" s="1"/>
  <c r="F29" i="9" a="1"/>
  <c r="F29" i="9" s="1"/>
  <c r="E29" i="9" a="1"/>
  <c r="E29" i="9" s="1"/>
  <c r="I28" i="9" a="1"/>
  <c r="I28" i="9" s="1"/>
  <c r="H28" i="9" a="1"/>
  <c r="H28" i="9" s="1"/>
  <c r="G28" i="9" a="1"/>
  <c r="G28" i="9" s="1"/>
  <c r="F28" i="9" a="1"/>
  <c r="F28" i="9" s="1"/>
  <c r="E28" i="9" a="1"/>
  <c r="E28" i="9" s="1"/>
  <c r="I27" i="9" a="1"/>
  <c r="I27" i="9" s="1"/>
  <c r="H27" i="9" a="1"/>
  <c r="H27" i="9" s="1"/>
  <c r="G27" i="9" a="1"/>
  <c r="G27" i="9" s="1"/>
  <c r="F27" i="9" a="1"/>
  <c r="F27" i="9" s="1"/>
  <c r="E27" i="9" a="1"/>
  <c r="E27" i="9" s="1"/>
  <c r="I26" i="9" a="1"/>
  <c r="I26" i="9" s="1"/>
  <c r="H26" i="9" a="1"/>
  <c r="H26" i="9" s="1"/>
  <c r="G26" i="9" a="1"/>
  <c r="G26" i="9" s="1"/>
  <c r="F26" i="9" a="1"/>
  <c r="F26" i="9" s="1"/>
  <c r="E26" i="9" a="1"/>
  <c r="E26" i="9" s="1"/>
  <c r="I25" i="9" a="1"/>
  <c r="I25" i="9" s="1"/>
  <c r="H25" i="9" a="1"/>
  <c r="H25" i="9" s="1"/>
  <c r="G25" i="9" a="1"/>
  <c r="G25" i="9" s="1"/>
  <c r="F25" i="9" a="1"/>
  <c r="F25" i="9" s="1"/>
  <c r="F19" i="9" a="1"/>
  <c r="F19" i="9" s="1"/>
  <c r="I9" i="9" a="1"/>
  <c r="I9" i="9" s="1"/>
  <c r="H9" i="9" a="1"/>
  <c r="H9" i="9" s="1"/>
  <c r="G9" i="9" a="1"/>
  <c r="G9" i="9" s="1"/>
  <c r="F9" i="9" a="1"/>
  <c r="F9" i="9" s="1"/>
  <c r="E9" i="9" a="1"/>
  <c r="E9" i="9" s="1"/>
  <c r="I20" i="9" a="1"/>
  <c r="I20" i="9" s="1"/>
  <c r="H20" i="9" a="1"/>
  <c r="H20" i="9" s="1"/>
  <c r="G20" i="9" a="1"/>
  <c r="G20" i="9" s="1"/>
  <c r="O19" i="9" s="1"/>
  <c r="F20" i="9" a="1"/>
  <c r="F20" i="9" s="1"/>
  <c r="E20" i="9" a="1"/>
  <c r="E20" i="9" s="1"/>
  <c r="I19" i="9" a="1"/>
  <c r="I19" i="9" s="1"/>
  <c r="H19" i="9" a="1"/>
  <c r="H19" i="9" s="1"/>
  <c r="G19" i="9" a="1"/>
  <c r="G19" i="9" s="1"/>
  <c r="E19" i="9" a="1"/>
  <c r="E19" i="9" s="1"/>
  <c r="I18" i="9" a="1"/>
  <c r="I18" i="9" s="1"/>
  <c r="H18" i="9" a="1"/>
  <c r="H18" i="9" s="1"/>
  <c r="G18" i="9" a="1"/>
  <c r="G18" i="9" s="1"/>
  <c r="F18" i="9" a="1"/>
  <c r="F18" i="9" s="1"/>
  <c r="E18" i="9" a="1"/>
  <c r="E18" i="9" s="1"/>
  <c r="I17" i="9" a="1"/>
  <c r="I17" i="9" s="1"/>
  <c r="H17" i="9" a="1"/>
  <c r="H17" i="9" s="1"/>
  <c r="G17" i="9" a="1"/>
  <c r="G17" i="9" s="1"/>
  <c r="F17" i="9" a="1"/>
  <c r="F17" i="9" s="1"/>
  <c r="E17" i="9" a="1"/>
  <c r="E17" i="9" s="1"/>
  <c r="I16" i="9" a="1"/>
  <c r="I16" i="9" s="1"/>
  <c r="H16" i="9" a="1"/>
  <c r="H16" i="9" s="1"/>
  <c r="G16" i="9" a="1"/>
  <c r="G16" i="9" s="1"/>
  <c r="F16" i="9" a="1"/>
  <c r="F16" i="9" s="1"/>
  <c r="E16" i="9" a="1"/>
  <c r="E16" i="9" s="1"/>
  <c r="I15" i="9" a="1"/>
  <c r="I15" i="9" s="1"/>
  <c r="H15" i="9" a="1"/>
  <c r="H15" i="9" s="1"/>
  <c r="G15" i="9" a="1"/>
  <c r="G15" i="9" s="1"/>
  <c r="F15" i="9" a="1"/>
  <c r="F15" i="9" s="1"/>
  <c r="E15" i="9" a="1"/>
  <c r="E15" i="9" s="1"/>
  <c r="I14" i="9" a="1"/>
  <c r="I14" i="9" s="1"/>
  <c r="H14" i="9" a="1"/>
  <c r="H14" i="9" s="1"/>
  <c r="G14" i="9" a="1"/>
  <c r="G14" i="9" s="1"/>
  <c r="F14" i="9" a="1"/>
  <c r="F14" i="9" s="1"/>
  <c r="E14" i="9" a="1"/>
  <c r="E14" i="9" s="1"/>
  <c r="I13" i="9" a="1"/>
  <c r="I13" i="9" s="1"/>
  <c r="H13" i="9" a="1"/>
  <c r="H13" i="9" s="1"/>
  <c r="G13" i="9" a="1"/>
  <c r="G13" i="9" s="1"/>
  <c r="F13" i="9" a="1"/>
  <c r="F13" i="9" s="1"/>
  <c r="E13" i="9" a="1"/>
  <c r="E13" i="9" s="1"/>
  <c r="I12" i="9" a="1"/>
  <c r="I12" i="9" s="1"/>
  <c r="H12" i="9" a="1"/>
  <c r="H12" i="9" s="1"/>
  <c r="G12" i="9" a="1"/>
  <c r="G12" i="9" s="1"/>
  <c r="F12" i="9" a="1"/>
  <c r="F12" i="9" s="1"/>
  <c r="E12" i="9" a="1"/>
  <c r="E12" i="9" s="1"/>
  <c r="I11" i="9" a="1"/>
  <c r="I11" i="9" s="1"/>
  <c r="H11" i="9" a="1"/>
  <c r="H11" i="9" s="1"/>
  <c r="G11" i="9" a="1"/>
  <c r="G11" i="9" s="1"/>
  <c r="F11" i="9" a="1"/>
  <c r="F11" i="9" s="1"/>
  <c r="E11" i="9" a="1"/>
  <c r="E11" i="9" s="1"/>
  <c r="I10" i="9" a="1"/>
  <c r="I10" i="9" s="1"/>
  <c r="H10" i="9" a="1"/>
  <c r="H10" i="9" s="1"/>
  <c r="G10" i="9" a="1"/>
  <c r="G10" i="9" s="1"/>
  <c r="F10" i="9" a="1"/>
  <c r="F10" i="9" s="1"/>
  <c r="E10" i="9" a="1"/>
  <c r="E10" i="9" s="1"/>
  <c r="P383" i="8" a="1"/>
  <c r="P383" i="8" s="1"/>
  <c r="O383" i="8" a="1"/>
  <c r="O383" i="8" s="1"/>
  <c r="P382" i="8" a="1"/>
  <c r="P382" i="8" s="1"/>
  <c r="O382" i="8" a="1"/>
  <c r="O382" i="8" s="1"/>
  <c r="P381" i="8" a="1"/>
  <c r="P381" i="8" s="1"/>
  <c r="O381" i="8" a="1"/>
  <c r="O381" i="8" s="1"/>
  <c r="P380" i="8" a="1"/>
  <c r="P380" i="8" s="1"/>
  <c r="O380" i="8" a="1"/>
  <c r="O380" i="8" s="1"/>
  <c r="P379" i="8" a="1"/>
  <c r="P379" i="8" s="1"/>
  <c r="O379" i="8" a="1"/>
  <c r="O379" i="8" s="1"/>
  <c r="P378" i="8" a="1"/>
  <c r="P378" i="8" s="1"/>
  <c r="O378" i="8" a="1"/>
  <c r="O378" i="8" s="1"/>
  <c r="P377" i="8" a="1"/>
  <c r="P377" i="8" s="1"/>
  <c r="O377" i="8" a="1"/>
  <c r="O377" i="8" s="1"/>
  <c r="P376" i="8" a="1"/>
  <c r="P376" i="8" s="1"/>
  <c r="O376" i="8" a="1"/>
  <c r="O376" i="8" s="1"/>
  <c r="P375" i="8" a="1"/>
  <c r="P375" i="8" s="1"/>
  <c r="O375" i="8" a="1"/>
  <c r="O375" i="8" s="1"/>
  <c r="P374" i="8" a="1"/>
  <c r="P374" i="8" s="1"/>
  <c r="O374" i="8" a="1"/>
  <c r="O374" i="8" s="1"/>
  <c r="P373" i="8" a="1"/>
  <c r="P373" i="8" s="1"/>
  <c r="O373" i="8" a="1"/>
  <c r="O373" i="8" s="1"/>
  <c r="P372" i="8" a="1"/>
  <c r="P372" i="8" s="1"/>
  <c r="O372" i="8" a="1"/>
  <c r="O372" i="8" s="1"/>
  <c r="K383" i="8"/>
  <c r="J383" i="8"/>
  <c r="I383" i="8"/>
  <c r="K382" i="8"/>
  <c r="J382" i="8"/>
  <c r="I382" i="8"/>
  <c r="K381" i="8"/>
  <c r="J381" i="8"/>
  <c r="I381" i="8"/>
  <c r="K380" i="8"/>
  <c r="J380" i="8"/>
  <c r="I380" i="8"/>
  <c r="K379" i="8"/>
  <c r="L379" i="8" s="1"/>
  <c r="J379" i="8"/>
  <c r="I379" i="8"/>
  <c r="K378" i="8"/>
  <c r="J378" i="8"/>
  <c r="I378" i="8"/>
  <c r="K377" i="8"/>
  <c r="L377" i="8" s="1"/>
  <c r="J377" i="8"/>
  <c r="I377" i="8"/>
  <c r="K376" i="8"/>
  <c r="L376" i="8" s="1"/>
  <c r="J376" i="8"/>
  <c r="I376" i="8"/>
  <c r="K375" i="8"/>
  <c r="L375" i="8" s="1"/>
  <c r="J375" i="8"/>
  <c r="I375" i="8"/>
  <c r="K374" i="8"/>
  <c r="J374" i="8"/>
  <c r="I374" i="8"/>
  <c r="K373" i="8"/>
  <c r="J373" i="8"/>
  <c r="I373" i="8"/>
  <c r="K372" i="8"/>
  <c r="L373" i="8" s="1"/>
  <c r="J372" i="8"/>
  <c r="L383" i="8"/>
  <c r="L381" i="8"/>
  <c r="I372" i="8"/>
  <c r="R4" i="8"/>
  <c r="R3" i="8"/>
  <c r="R2" i="8"/>
  <c r="R367" i="8"/>
  <c r="R366" i="8"/>
  <c r="R365" i="8"/>
  <c r="R364" i="8"/>
  <c r="R363" i="8"/>
  <c r="R362" i="8"/>
  <c r="R361" i="8"/>
  <c r="R360" i="8"/>
  <c r="R359" i="8"/>
  <c r="R358" i="8"/>
  <c r="R357" i="8"/>
  <c r="R356" i="8"/>
  <c r="R355" i="8"/>
  <c r="R354" i="8"/>
  <c r="R353" i="8"/>
  <c r="R352" i="8"/>
  <c r="R351" i="8"/>
  <c r="R350" i="8"/>
  <c r="R349" i="8"/>
  <c r="R348" i="8"/>
  <c r="R347" i="8"/>
  <c r="R346" i="8"/>
  <c r="R345" i="8"/>
  <c r="R344" i="8"/>
  <c r="R343" i="8"/>
  <c r="R342" i="8"/>
  <c r="R341" i="8"/>
  <c r="R340" i="8"/>
  <c r="R339" i="8"/>
  <c r="R338" i="8"/>
  <c r="R337" i="8"/>
  <c r="R336" i="8"/>
  <c r="R335" i="8"/>
  <c r="R334" i="8"/>
  <c r="R333" i="8"/>
  <c r="R332" i="8"/>
  <c r="R331" i="8"/>
  <c r="R330" i="8"/>
  <c r="R329" i="8"/>
  <c r="R328" i="8"/>
  <c r="R327" i="8"/>
  <c r="R326" i="8"/>
  <c r="R325" i="8"/>
  <c r="R324" i="8"/>
  <c r="R323" i="8"/>
  <c r="R322" i="8"/>
  <c r="R321" i="8"/>
  <c r="R320" i="8"/>
  <c r="R319" i="8"/>
  <c r="R318" i="8"/>
  <c r="R317" i="8"/>
  <c r="R316" i="8"/>
  <c r="R315" i="8"/>
  <c r="R314" i="8"/>
  <c r="R313" i="8"/>
  <c r="R312" i="8"/>
  <c r="R311" i="8"/>
  <c r="R310" i="8"/>
  <c r="R309" i="8"/>
  <c r="R308" i="8"/>
  <c r="R307" i="8"/>
  <c r="R306" i="8"/>
  <c r="R305" i="8"/>
  <c r="R304" i="8"/>
  <c r="R303" i="8"/>
  <c r="R302" i="8"/>
  <c r="R301" i="8"/>
  <c r="R300" i="8"/>
  <c r="R299" i="8"/>
  <c r="R298" i="8"/>
  <c r="R297" i="8"/>
  <c r="R296" i="8"/>
  <c r="R295" i="8"/>
  <c r="R294" i="8"/>
  <c r="R293" i="8"/>
  <c r="R292" i="8"/>
  <c r="R291" i="8"/>
  <c r="R290" i="8"/>
  <c r="R289" i="8"/>
  <c r="R288" i="8"/>
  <c r="R287" i="8"/>
  <c r="R286" i="8"/>
  <c r="R285" i="8"/>
  <c r="R284" i="8"/>
  <c r="R283" i="8"/>
  <c r="R282" i="8"/>
  <c r="R281" i="8"/>
  <c r="R280" i="8"/>
  <c r="R279" i="8"/>
  <c r="R278" i="8"/>
  <c r="R277" i="8"/>
  <c r="R276" i="8"/>
  <c r="R275" i="8"/>
  <c r="R274" i="8"/>
  <c r="R273" i="8"/>
  <c r="R272" i="8"/>
  <c r="R271" i="8"/>
  <c r="R270" i="8"/>
  <c r="R269" i="8"/>
  <c r="R268" i="8"/>
  <c r="R267" i="8"/>
  <c r="R266" i="8"/>
  <c r="R265" i="8"/>
  <c r="R264" i="8"/>
  <c r="R263" i="8"/>
  <c r="R262" i="8"/>
  <c r="R261" i="8"/>
  <c r="R260" i="8"/>
  <c r="R259" i="8"/>
  <c r="R258" i="8"/>
  <c r="R257" i="8"/>
  <c r="R256" i="8"/>
  <c r="R255" i="8"/>
  <c r="R254" i="8"/>
  <c r="R253" i="8"/>
  <c r="R252" i="8"/>
  <c r="R251" i="8"/>
  <c r="R250" i="8"/>
  <c r="R249" i="8"/>
  <c r="R248" i="8"/>
  <c r="R247" i="8"/>
  <c r="R246" i="8"/>
  <c r="R245" i="8"/>
  <c r="R244" i="8"/>
  <c r="R243" i="8"/>
  <c r="R242" i="8"/>
  <c r="R241" i="8"/>
  <c r="R240" i="8"/>
  <c r="R239" i="8"/>
  <c r="R238" i="8"/>
  <c r="R237" i="8"/>
  <c r="R236" i="8"/>
  <c r="R235" i="8"/>
  <c r="R234" i="8"/>
  <c r="R233" i="8"/>
  <c r="R232" i="8"/>
  <c r="R231" i="8"/>
  <c r="R230" i="8"/>
  <c r="R229" i="8"/>
  <c r="R228" i="8"/>
  <c r="R227" i="8"/>
  <c r="R226" i="8"/>
  <c r="R225" i="8"/>
  <c r="R224" i="8"/>
  <c r="R223" i="8"/>
  <c r="R222" i="8"/>
  <c r="R221" i="8"/>
  <c r="R220" i="8"/>
  <c r="R219" i="8"/>
  <c r="R218" i="8"/>
  <c r="R217" i="8"/>
  <c r="R216" i="8"/>
  <c r="R215" i="8"/>
  <c r="R214" i="8"/>
  <c r="R213" i="8"/>
  <c r="R212" i="8"/>
  <c r="R211" i="8"/>
  <c r="R210" i="8"/>
  <c r="R209" i="8"/>
  <c r="R208" i="8"/>
  <c r="R207" i="8"/>
  <c r="R206" i="8"/>
  <c r="R205" i="8"/>
  <c r="R204" i="8"/>
  <c r="R203" i="8"/>
  <c r="R202" i="8"/>
  <c r="R201" i="8"/>
  <c r="R200" i="8"/>
  <c r="R199" i="8"/>
  <c r="R198" i="8"/>
  <c r="R197" i="8"/>
  <c r="R196" i="8"/>
  <c r="R195" i="8"/>
  <c r="R194" i="8"/>
  <c r="R193" i="8"/>
  <c r="R192" i="8"/>
  <c r="R191" i="8"/>
  <c r="R190" i="8"/>
  <c r="R189" i="8"/>
  <c r="R188" i="8"/>
  <c r="R187" i="8"/>
  <c r="R186" i="8"/>
  <c r="R185" i="8"/>
  <c r="R184" i="8"/>
  <c r="R183" i="8"/>
  <c r="R182" i="8"/>
  <c r="R181" i="8"/>
  <c r="R180" i="8"/>
  <c r="R179" i="8"/>
  <c r="R178" i="8"/>
  <c r="R177" i="8"/>
  <c r="R176" i="8"/>
  <c r="R175" i="8"/>
  <c r="R174" i="8"/>
  <c r="R173" i="8"/>
  <c r="R172" i="8"/>
  <c r="R171" i="8"/>
  <c r="R170" i="8"/>
  <c r="R169" i="8"/>
  <c r="R168" i="8"/>
  <c r="R167" i="8"/>
  <c r="R166" i="8"/>
  <c r="R165" i="8"/>
  <c r="R164" i="8"/>
  <c r="R163" i="8"/>
  <c r="R162" i="8"/>
  <c r="R161" i="8"/>
  <c r="R160" i="8"/>
  <c r="R159" i="8"/>
  <c r="R158" i="8"/>
  <c r="R157" i="8"/>
  <c r="R156" i="8"/>
  <c r="R155" i="8"/>
  <c r="R154" i="8"/>
  <c r="R153" i="8"/>
  <c r="R152" i="8"/>
  <c r="R151" i="8"/>
  <c r="R150" i="8"/>
  <c r="R149" i="8"/>
  <c r="R148" i="8"/>
  <c r="R147" i="8"/>
  <c r="R146" i="8"/>
  <c r="R145" i="8"/>
  <c r="R144" i="8"/>
  <c r="R143" i="8"/>
  <c r="R142" i="8"/>
  <c r="R141" i="8"/>
  <c r="R140" i="8"/>
  <c r="R139" i="8"/>
  <c r="R138" i="8"/>
  <c r="R137" i="8"/>
  <c r="R136" i="8"/>
  <c r="R135" i="8"/>
  <c r="R134" i="8"/>
  <c r="R133" i="8"/>
  <c r="R132" i="8"/>
  <c r="R131" i="8"/>
  <c r="R130" i="8"/>
  <c r="R129" i="8"/>
  <c r="R128" i="8"/>
  <c r="R127" i="8"/>
  <c r="R126" i="8"/>
  <c r="R125" i="8"/>
  <c r="R124" i="8"/>
  <c r="R123" i="8"/>
  <c r="R122" i="8"/>
  <c r="R121" i="8"/>
  <c r="R120" i="8"/>
  <c r="R119" i="8"/>
  <c r="R118" i="8"/>
  <c r="R117" i="8"/>
  <c r="R116" i="8"/>
  <c r="R115" i="8"/>
  <c r="R114" i="8"/>
  <c r="R113" i="8"/>
  <c r="R112" i="8"/>
  <c r="R111" i="8"/>
  <c r="R110" i="8"/>
  <c r="R109" i="8"/>
  <c r="R108" i="8"/>
  <c r="R107" i="8"/>
  <c r="R106" i="8"/>
  <c r="R105" i="8"/>
  <c r="R104" i="8"/>
  <c r="R103" i="8"/>
  <c r="R102" i="8"/>
  <c r="R101" i="8"/>
  <c r="R100" i="8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R86" i="8"/>
  <c r="R85" i="8"/>
  <c r="R84" i="8"/>
  <c r="R83" i="8"/>
  <c r="R82" i="8"/>
  <c r="R81" i="8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R66" i="8"/>
  <c r="R65" i="8"/>
  <c r="R64" i="8"/>
  <c r="R63" i="8"/>
  <c r="R62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R46" i="8"/>
  <c r="R45" i="8"/>
  <c r="R44" i="8"/>
  <c r="R43" i="8"/>
  <c r="R42" i="8"/>
  <c r="R41" i="8"/>
  <c r="R40" i="8"/>
  <c r="R39" i="8"/>
  <c r="R38" i="8"/>
  <c r="R37" i="8"/>
  <c r="R36" i="8"/>
  <c r="R35" i="8"/>
  <c r="R34" i="8"/>
  <c r="R33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R8" i="8"/>
  <c r="R7" i="8"/>
  <c r="R6" i="8"/>
  <c r="R5" i="8"/>
  <c r="Q5" i="8"/>
  <c r="Q3" i="8"/>
  <c r="Q4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2" i="8"/>
  <c r="O10" i="5"/>
  <c r="L10" i="5"/>
  <c r="M7" i="7"/>
  <c r="M15" i="7" s="1"/>
  <c r="L7" i="7"/>
  <c r="K7" i="7"/>
  <c r="K15" i="7" s="1"/>
  <c r="J7" i="7"/>
  <c r="I7" i="7"/>
  <c r="H7" i="7"/>
  <c r="G7" i="7"/>
  <c r="M6" i="7"/>
  <c r="M14" i="7" s="1"/>
  <c r="L6" i="7"/>
  <c r="L14" i="7" s="1"/>
  <c r="K6" i="7"/>
  <c r="K14" i="7" s="1"/>
  <c r="J6" i="7"/>
  <c r="I6" i="7"/>
  <c r="H6" i="7"/>
  <c r="H14" i="7" s="1"/>
  <c r="G6" i="7"/>
  <c r="M5" i="7"/>
  <c r="M13" i="7" s="1"/>
  <c r="L5" i="7"/>
  <c r="K5" i="7"/>
  <c r="J5" i="7"/>
  <c r="I5" i="7"/>
  <c r="H5" i="7"/>
  <c r="G5" i="7"/>
  <c r="L15" i="7" l="1"/>
  <c r="H13" i="7"/>
  <c r="L13" i="7"/>
  <c r="J13" i="7"/>
  <c r="I14" i="7"/>
  <c r="J14" i="7"/>
  <c r="K13" i="7"/>
  <c r="I13" i="7"/>
  <c r="H15" i="7"/>
  <c r="I15" i="7"/>
  <c r="J15" i="7"/>
  <c r="N20" i="9"/>
  <c r="M19" i="9"/>
  <c r="N19" i="9"/>
  <c r="P19" i="9"/>
  <c r="Q19" i="9"/>
  <c r="O20" i="9"/>
  <c r="P20" i="9"/>
  <c r="Q20" i="9"/>
  <c r="Q374" i="8"/>
  <c r="Q377" i="8"/>
  <c r="Q378" i="8"/>
  <c r="Q380" i="8"/>
  <c r="Q375" i="8"/>
  <c r="Q372" i="8"/>
  <c r="Q379" i="8"/>
  <c r="Q373" i="8"/>
  <c r="Q381" i="8"/>
  <c r="Q382" i="8"/>
  <c r="Q376" i="8"/>
  <c r="Q383" i="8"/>
  <c r="L380" i="8"/>
  <c r="L382" i="8"/>
  <c r="L374" i="8"/>
  <c r="L378" i="8"/>
  <c r="Q16" i="5"/>
  <c r="Q18" i="5"/>
  <c r="P18" i="5"/>
  <c r="P16" i="5"/>
  <c r="Q15" i="5"/>
  <c r="P15" i="5"/>
  <c r="Q14" i="5"/>
  <c r="P14" i="5"/>
  <c r="Q13" i="5"/>
  <c r="P13" i="5"/>
  <c r="Q12" i="5"/>
  <c r="P12" i="5"/>
  <c r="Q11" i="5"/>
  <c r="P11" i="5"/>
  <c r="Q10" i="5"/>
  <c r="P10" i="5"/>
  <c r="N18" i="5"/>
  <c r="M18" i="5"/>
  <c r="L18" i="5"/>
  <c r="O16" i="5" s="1"/>
  <c r="L17" i="5"/>
  <c r="L12" i="5"/>
  <c r="N17" i="5"/>
  <c r="N16" i="5"/>
  <c r="N15" i="5"/>
  <c r="N14" i="5"/>
  <c r="N13" i="5"/>
  <c r="N12" i="5"/>
  <c r="N11" i="5"/>
  <c r="N10" i="5"/>
  <c r="M17" i="5"/>
  <c r="M16" i="5"/>
  <c r="M15" i="5"/>
  <c r="M14" i="5"/>
  <c r="M13" i="5"/>
  <c r="M12" i="5"/>
  <c r="M11" i="5"/>
  <c r="M10" i="5"/>
  <c r="L16" i="5"/>
  <c r="L15" i="5"/>
  <c r="L14" i="5"/>
  <c r="L13" i="5"/>
  <c r="L11" i="5"/>
  <c r="G10" i="5"/>
  <c r="F10" i="5"/>
  <c r="E10" i="5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4" i="3"/>
  <c r="D3" i="3"/>
  <c r="D2" i="3"/>
  <c r="O11" i="5" l="1"/>
  <c r="O12" i="5"/>
  <c r="O13" i="5"/>
  <c r="O14" i="5"/>
  <c r="O15" i="5"/>
  <c r="O1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8AD163-0FAF-4414-82D2-E2B9B30B8CAE}" keepAlive="1" name="Query - All_India_Index_Upto_April23 (1)" description="Connection to the 'All_India_Index_Upto_April23 (1)' query in the workbook." type="5" refreshedVersion="8" background="1" saveData="1">
    <dbPr connection="Provider=Microsoft.Mashup.OleDb.1;Data Source=$Workbook$;Location=&quot;All_India_Index_Upto_April23 (1)&quot;;Extended Properties=&quot;&quot;" command="SELECT * FROM [All_India_Index_Upto_April23 (1)]"/>
  </connection>
  <connection id="2" xr16:uid="{9D547B5F-4528-435A-9E85-0139A561AE89}" keepAlive="1" name="Query - All_India_Index_Upto_April23 (2)" description="Connection to the 'All_India_Index_Upto_April23 (2)' query in the workbook." type="5" refreshedVersion="8" background="1" saveData="1">
    <dbPr connection="Provider=Microsoft.Mashup.OleDb.1;Data Source=$Workbook$;Location=&quot;All_India_Index_Upto_April23 (2)&quot;;Extended Properties=&quot;&quot;" command="SELECT * FROM [All_India_Index_Upto_April23 (2)]"/>
  </connection>
  <connection id="3" xr16:uid="{1A2646C2-5584-4537-80ED-1ABCC1ECF929}" keepAlive="1" name="Query - All_India_Index_Upto_April23 (3)" description="Connection to the 'All_India_Index_Upto_April23 (3)' query in the workbook." type="5" refreshedVersion="8" background="1" saveData="1">
    <dbPr connection="Provider=Microsoft.Mashup.OleDb.1;Data Source=$Workbook$;Location=&quot;All_India_Index_Upto_April23 (3)&quot;;Extended Properties=&quot;&quot;" command="SELECT * FROM [All_India_Index_Upto_April23 (3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<sst xmlns="http://schemas.openxmlformats.org/spreadsheetml/2006/main" count="3852" uniqueCount="204">
  <si>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</si>
  <si>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</si>
  <si>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</si>
  <si>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</si>
  <si>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</si>
  <si>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</si>
  <si>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</si>
  <si>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</si>
  <si>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</si>
  <si>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</si>
  <si>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</si>
  <si>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</si>
  <si>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</si>
  <si>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</si>
  <si>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</si>
  <si>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</si>
  <si>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</si>
  <si>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</si>
  <si>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</si>
  <si>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</si>
  <si>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</si>
  <si>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</si>
  <si>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</si>
  <si>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</si>
  <si>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</si>
  <si>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</si>
  <si>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</si>
  <si>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</si>
  <si>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</si>
  <si>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</si>
  <si>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</si>
  <si>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</si>
  <si>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</si>
  <si>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</si>
  <si>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100.3</t>
  </si>
  <si>
    <t>Rural+Urban</t>
  </si>
  <si>
    <t>February</t>
  </si>
  <si>
    <t>100.4</t>
  </si>
  <si>
    <t>March</t>
  </si>
  <si>
    <t>April</t>
  </si>
  <si>
    <t>100.5</t>
  </si>
  <si>
    <t>May</t>
  </si>
  <si>
    <t>June</t>
  </si>
  <si>
    <t>106.6</t>
  </si>
  <si>
    <t>July</t>
  </si>
  <si>
    <t>107.7</t>
  </si>
  <si>
    <t>August</t>
  </si>
  <si>
    <t>108.9</t>
  </si>
  <si>
    <t>September</t>
  </si>
  <si>
    <t>109.7</t>
  </si>
  <si>
    <t>October</t>
  </si>
  <si>
    <t>110.5</t>
  </si>
  <si>
    <t xml:space="preserve">November </t>
  </si>
  <si>
    <t>November</t>
  </si>
  <si>
    <t>111.1</t>
  </si>
  <si>
    <t>December</t>
  </si>
  <si>
    <t>110.7</t>
  </si>
  <si>
    <t>111.6</t>
  </si>
  <si>
    <t>112.5</t>
  </si>
  <si>
    <t>113.2</t>
  </si>
  <si>
    <t>Marcrh</t>
  </si>
  <si>
    <t>113.9</t>
  </si>
  <si>
    <t>114.3</t>
  </si>
  <si>
    <t>114.8</t>
  </si>
  <si>
    <t>115.5</t>
  </si>
  <si>
    <t>116.1</t>
  </si>
  <si>
    <t>116.7</t>
  </si>
  <si>
    <t>117.1</t>
  </si>
  <si>
    <t>116.5</t>
  </si>
  <si>
    <t>117.3</t>
  </si>
  <si>
    <t>118.1</t>
  </si>
  <si>
    <t>118.6</t>
  </si>
  <si>
    <t>119.2</t>
  </si>
  <si>
    <t>119.6</t>
  </si>
  <si>
    <t>119</t>
  </si>
  <si>
    <t>119.9</t>
  </si>
  <si>
    <t>120.9</t>
  </si>
  <si>
    <t>121.6</t>
  </si>
  <si>
    <t>122.4</t>
  </si>
  <si>
    <t>122.9</t>
  </si>
  <si>
    <t>123.4</t>
  </si>
  <si>
    <t>124.4</t>
  </si>
  <si>
    <t>124.9</t>
  </si>
  <si>
    <t>125.6</t>
  </si>
  <si>
    <t>126</t>
  </si>
  <si>
    <t>125.5</t>
  </si>
  <si>
    <t>126.4</t>
  </si>
  <si>
    <t>127.3</t>
  </si>
  <si>
    <t>127.9</t>
  </si>
  <si>
    <t>128.7</t>
  </si>
  <si>
    <t>129.1</t>
  </si>
  <si>
    <t>128.5</t>
  </si>
  <si>
    <t>129.6</t>
  </si>
  <si>
    <t>130.5</t>
  </si>
  <si>
    <t>131.1</t>
  </si>
  <si>
    <t>131.7</t>
  </si>
  <si>
    <t>132.1</t>
  </si>
  <si>
    <t>131.4</t>
  </si>
  <si>
    <t>132.6</t>
  </si>
  <si>
    <t>134.4</t>
  </si>
  <si>
    <t>135.7</t>
  </si>
  <si>
    <t>137.3</t>
  </si>
  <si>
    <t>138.6</t>
  </si>
  <si>
    <t>139.1</t>
  </si>
  <si>
    <t>140.4</t>
  </si>
  <si>
    <t>141.3</t>
  </si>
  <si>
    <t>142</t>
  </si>
  <si>
    <t>142.9</t>
  </si>
  <si>
    <t>143.2</t>
  </si>
  <si>
    <t>142.5</t>
  </si>
  <si>
    <t>143.6</t>
  </si>
  <si>
    <t>144.6</t>
  </si>
  <si>
    <t>145.3</t>
  </si>
  <si>
    <t>146.3</t>
  </si>
  <si>
    <t>146.9</t>
  </si>
  <si>
    <t>146.5</t>
  </si>
  <si>
    <t>147.7</t>
  </si>
  <si>
    <t>148.5</t>
  </si>
  <si>
    <t>149</t>
  </si>
  <si>
    <t>150.1</t>
  </si>
  <si>
    <t>149.4</t>
  </si>
  <si>
    <t>150.6</t>
  </si>
  <si>
    <t>151.6</t>
  </si>
  <si>
    <t>152.2</t>
  </si>
  <si>
    <t>153</t>
  </si>
  <si>
    <t>153.5</t>
  </si>
  <si>
    <t>152.8</t>
  </si>
  <si>
    <t>153.9</t>
  </si>
  <si>
    <t>154.8</t>
  </si>
  <si>
    <t>154.5</t>
  </si>
  <si>
    <t>155.6</t>
  </si>
  <si>
    <t>154.7</t>
  </si>
  <si>
    <t>155.5</t>
  </si>
  <si>
    <t>156.3</t>
  </si>
  <si>
    <t>156.5</t>
  </si>
  <si>
    <t>158</t>
  </si>
  <si>
    <t>158.4</t>
  </si>
  <si>
    <t>157.7</t>
  </si>
  <si>
    <t>159.8</t>
  </si>
  <si>
    <t>-</t>
  </si>
  <si>
    <t>159.9</t>
  </si>
  <si>
    <t>161.4</t>
  </si>
  <si>
    <t>161.6</t>
  </si>
  <si>
    <t>160.5</t>
  </si>
  <si>
    <t>161.5</t>
  </si>
  <si>
    <t>162.1</t>
  </si>
  <si>
    <t>163.6</t>
  </si>
  <si>
    <t>164.2</t>
  </si>
  <si>
    <t>163.4</t>
  </si>
  <si>
    <t>164.5</t>
  </si>
  <si>
    <t>165.5</t>
  </si>
  <si>
    <t>165.3</t>
  </si>
  <si>
    <t>167</t>
  </si>
  <si>
    <t>167.5</t>
  </si>
  <si>
    <t>166.8</t>
  </si>
  <si>
    <t>167.8</t>
  </si>
  <si>
    <t>169</t>
  </si>
  <si>
    <t>169.5</t>
  </si>
  <si>
    <t>171.2</t>
  </si>
  <si>
    <t>171.8</t>
  </si>
  <si>
    <t>170.7</t>
  </si>
  <si>
    <t>172.1</t>
  </si>
  <si>
    <t>173.5</t>
  </si>
  <si>
    <t>175.2</t>
  </si>
  <si>
    <t>175.6</t>
  </si>
  <si>
    <t>Can't clean the data because of some categ have missing valuse in april also moving average don’t work</t>
  </si>
  <si>
    <t>2 Months CPI as been removed</t>
  </si>
  <si>
    <t>Broader categories</t>
  </si>
  <si>
    <t>Food and Beverages</t>
  </si>
  <si>
    <t>Housing and households</t>
  </si>
  <si>
    <t>Education and recreation</t>
  </si>
  <si>
    <t>Rural %</t>
  </si>
  <si>
    <t>Urban %</t>
  </si>
  <si>
    <t>Rural+Urban %</t>
  </si>
  <si>
    <t xml:space="preserve">Total </t>
  </si>
  <si>
    <t>Inflation %</t>
  </si>
  <si>
    <t>M-O-M</t>
  </si>
  <si>
    <t>Food buckts avg</t>
  </si>
  <si>
    <t>Food_bucktes</t>
  </si>
  <si>
    <t>Months</t>
  </si>
  <si>
    <t>Food buckts avg2</t>
  </si>
  <si>
    <t>Y-O_Y</t>
  </si>
  <si>
    <t>Food Categries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</si>
  <si>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</si>
  <si>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</si>
  <si>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</si>
  <si>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</si>
  <si>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</si>
  <si>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</si>
  <si>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</si>
  <si>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</si>
  <si>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</si>
  <si>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</si>
  <si>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</si>
  <si>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</si>
  <si>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Before COVID</t>
  </si>
  <si>
    <t>After COVID</t>
  </si>
  <si>
    <t>Month-Year</t>
  </si>
  <si>
    <t>Price</t>
  </si>
  <si>
    <t>MoM % Change</t>
  </si>
  <si>
    <t>Categories</t>
  </si>
  <si>
    <t>Broader Baskets</t>
  </si>
  <si>
    <t>Correls</t>
  </si>
  <si>
    <t>Oil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</si>
</sst>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1">
    <xf numFmtId="0" fontId="0" fillId="0" borderId="0" xfId="0"/>
    <xf numFmtId="0" fontId="0" fillId="2" borderId="0" xfId="0" applyFill="1"/>
    <xf numFmtId="164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5" xfId="0" applyFont="1" applyBorder="1"/>
    <xf numFmtId="0" fontId="0" fillId="0" borderId="6" xfId="0" applyBorder="1"/>
    <xf numFmtId="17" fontId="0" fillId="0" borderId="0" xfId="0" applyNumberFormat="1"/>
    <xf numFmtId="0" fontId="0" fillId="2" borderId="8" xfId="0" applyFill="1" applyBorder="1"/>
    <xf numFmtId="0" fontId="0" fillId="3" borderId="7" xfId="0" applyFill="1" applyBorder="1"/>
    <xf numFmtId="0" fontId="0" fillId="4" borderId="7" xfId="0" applyFill="1" applyBorder="1"/>
    <xf numFmtId="0" fontId="0" fillId="0" borderId="7" xfId="0" applyBorder="1"/>
    <xf numFmtId="0" fontId="0" fillId="3" borderId="9" xfId="0" applyFill="1" applyBorder="1"/>
    <xf numFmtId="0" fontId="0" fillId="5" borderId="7" xfId="0" applyFill="1" applyBorder="1"/>
    <xf numFmtId="9" fontId="0" fillId="0" borderId="7" xfId="1" applyFont="1" applyBorder="1"/>
    <xf numFmtId="0" fontId="3" fillId="5" borderId="7" xfId="0" applyFont="1" applyFill="1" applyBorder="1"/>
    <xf numFmtId="0" fontId="3" fillId="0" borderId="7" xfId="0" applyFont="1" applyBorder="1"/>
    <xf numFmtId="9" fontId="0" fillId="0" borderId="7" xfId="1" applyFont="1" applyFill="1" applyBorder="1"/>
    <xf numFmtId="9" fontId="0" fillId="0" borderId="0" xfId="1" applyFont="1"/>
    <xf numFmtId="164" fontId="0" fillId="0" borderId="0" xfId="1" applyNumberFormat="1" applyFont="1"/>
    <xf numFmtId="0" fontId="0" fillId="6" borderId="7" xfId="0" applyFill="1" applyBorder="1"/>
    <xf numFmtId="0" fontId="0" fillId="6" borderId="7" xfId="1" applyNumberFormat="1" applyFont="1" applyFill="1" applyBorder="1"/>
    <xf numFmtId="0" fontId="0" fillId="7" borderId="7" xfId="0" applyFill="1" applyBorder="1"/>
    <xf numFmtId="2" fontId="0" fillId="0" borderId="7" xfId="0" applyNumberFormat="1" applyBorder="1"/>
    <xf numFmtId="0" fontId="1" fillId="2" borderId="0" xfId="0" applyFont="1" applyFill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7" fontId="0" fillId="0" borderId="7" xfId="0" applyNumberFormat="1" applyBorder="1"/>
    <xf numFmtId="164" fontId="0" fillId="0" borderId="7" xfId="0" applyNumberFormat="1" applyBorder="1"/>
    <xf numFmtId="0" fontId="5" fillId="9" borderId="7" xfId="0" applyFont="1" applyFill="1" applyBorder="1"/>
    <xf numFmtId="17" fontId="5" fillId="9" borderId="7" xfId="0" applyNumberFormat="1" applyFont="1" applyFill="1" applyBorder="1"/>
    <xf numFmtId="164" fontId="5" fillId="9" borderId="7" xfId="0" applyNumberFormat="1" applyFont="1" applyFill="1" applyBorder="1"/>
    <xf numFmtId="9" fontId="5" fillId="9" borderId="7" xfId="1" applyFont="1" applyFill="1" applyBorder="1"/>
    <xf numFmtId="0" fontId="5" fillId="10" borderId="7" xfId="0" applyFont="1" applyFill="1" applyBorder="1"/>
    <xf numFmtId="17" fontId="5" fillId="10" borderId="7" xfId="0" applyNumberFormat="1" applyFont="1" applyFill="1" applyBorder="1"/>
    <xf numFmtId="164" fontId="5" fillId="10" borderId="7" xfId="0" applyNumberFormat="1" applyFont="1" applyFill="1" applyBorder="1"/>
    <xf numFmtId="9" fontId="5" fillId="10" borderId="7" xfId="1" applyFont="1" applyFill="1" applyBorder="1"/>
    <xf numFmtId="0" fontId="0" fillId="0" borderId="0" xfId="0" applyAlignment="1">
      <alignment horizontal="center" vertical="center"/>
    </xf>
    <xf numFmtId="17" fontId="1" fillId="3" borderId="7" xfId="0" applyNumberFormat="1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17" fontId="1" fillId="0" borderId="7" xfId="0" applyNumberFormat="1" applyFont="1" applyBorder="1" applyAlignment="1">
      <alignment horizontal="center" vertical="center"/>
    </xf>
    <xf numFmtId="17" fontId="1" fillId="0" borderId="0" xfId="0" applyNumberFormat="1" applyFont="1" applyAlignment="1">
      <alignment horizontal="center" vertical="center"/>
    </xf>
    <xf numFmtId="9" fontId="0" fillId="0" borderId="0" xfId="1" applyFont="1" applyFill="1" applyBorder="1"/>
    <xf numFmtId="0" fontId="1" fillId="6" borderId="7" xfId="0" applyFont="1" applyFill="1" applyBorder="1" applyAlignment="1">
      <alignment horizontal="center"/>
    </xf>
    <xf numFmtId="17" fontId="1" fillId="6" borderId="7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7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3" borderId="7" xfId="0" applyFont="1" applyFill="1" applyBorder="1" applyAlignment="1">
      <alignment horizontal="center"/>
    </xf>
    <xf numFmtId="0" fontId="1" fillId="3" borderId="7" xfId="0" applyFont="1" applyFill="1" applyBorder="1"/>
    <xf numFmtId="0" fontId="0" fillId="5" borderId="7" xfId="0" applyFill="1" applyBorder="1" applyAlignment="1">
      <alignment vertical="center"/>
    </xf>
    <xf numFmtId="0" fontId="0" fillId="11" borderId="7" xfId="0" applyFill="1" applyBorder="1"/>
    <xf numFmtId="0" fontId="4" fillId="8" borderId="7" xfId="0" applyFont="1" applyFill="1" applyBorder="1" applyAlignment="1">
      <alignment horizontal="center" vertical="center"/>
    </xf>
    <xf numFmtId="17" fontId="0" fillId="0" borderId="0" xfId="0" applyNumberForma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1" fillId="2" borderId="7" xfId="0" applyFont="1" applyFill="1" applyBorder="1"/>
  </cellXfs>
  <cellStyles count="2">
    <cellStyle name="Normal" xfId="0" builtinId="0"/>
    <cellStyle name="Percent" xfId="1" builtinId="5"/>
  </cellStyles>
  <dxfs count="12">
    <dxf>
      <numFmt numFmtId="164" formatCode="0.0"/>
    </dxf>
    <dxf>
      <numFmt numFmtId="164" formatCode="0.0"/>
    </dxf>
    <dxf>
      <numFmt numFmtId="0" formatCode="General"/>
    </dxf>
    <dxf>
      <numFmt numFmtId="0" formatCode="General"/>
    </dxf>
    <dxf>
      <font>
        <b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8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inflation</a:t>
            </a:r>
            <a:r>
              <a:rPr lang="en-IN" baseline="0"/>
              <a:t>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'2 .Y-O-Y CPI'!$F$13</c:f>
              <c:strCache>
                <c:ptCount val="1"/>
                <c:pt idx="0">
                  <c:v>Rural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 .Y-O-Y CPI'!$G$12:$M$12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'2 .Y-O-Y CPI'!$G$13:$M$13</c:f>
              <c:numCache>
                <c:formatCode>0%</c:formatCode>
                <c:ptCount val="7"/>
                <c:pt idx="1">
                  <c:v>3.760137625952361E-2</c:v>
                </c:pt>
                <c:pt idx="2">
                  <c:v>3.1609319150768624E-2</c:v>
                </c:pt>
                <c:pt idx="3">
                  <c:v>6.4596117720726334E-2</c:v>
                </c:pt>
                <c:pt idx="4">
                  <c:v>4.8352311939268436E-2</c:v>
                </c:pt>
                <c:pt idx="5">
                  <c:v>6.8452993211273419E-2</c:v>
                </c:pt>
                <c:pt idx="6">
                  <c:v>3.0931407942238046E-2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33-4ACF-A89A-A42766B65B7B}"/>
            </c:ext>
          </c:extLst>
        </c:ser>
        <c:ser>
          <c:idx val="1"/>
          <c:order val="1"/>
          <c:tx>
            <c:strRef>
              <c:f>'2 .Y-O-Y CPI'!$F$14</c:f>
              <c:strCache>
                <c:ptCount val="1"/>
                <c:pt idx="0">
                  <c:v>Urban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 .Y-O-Y CPI'!$G$12:$M$12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'2 .Y-O-Y CPI'!$G$14:$M$14</c:f>
              <c:numCache>
                <c:formatCode>0%</c:formatCode>
                <c:ptCount val="7"/>
                <c:pt idx="1">
                  <c:v>4.17859187178019E-2</c:v>
                </c:pt>
                <c:pt idx="2">
                  <c:v>4.7752247752247838E-2</c:v>
                </c:pt>
                <c:pt idx="3">
                  <c:v>6.3151538265954738E-2</c:v>
                </c:pt>
                <c:pt idx="4">
                  <c:v>5.7272826920968661E-2</c:v>
                </c:pt>
                <c:pt idx="5">
                  <c:v>6.3397439220361812E-2</c:v>
                </c:pt>
                <c:pt idx="6">
                  <c:v>3.3167592863410457E-2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33-4ACF-A89A-A42766B65B7B}"/>
            </c:ext>
          </c:extLst>
        </c:ser>
        <c:ser>
          <c:idx val="2"/>
          <c:order val="2"/>
          <c:tx>
            <c:strRef>
              <c:f>'2 .Y-O-Y CPI'!$F$15</c:f>
              <c:strCache>
                <c:ptCount val="1"/>
                <c:pt idx="0">
                  <c:v>Rural+Urban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 .Y-O-Y CPI'!$G$12:$M$12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'2 .Y-O-Y CPI'!$G$15:$M$15</c:f>
              <c:numCache>
                <c:formatCode>0%</c:formatCode>
                <c:ptCount val="7"/>
                <c:pt idx="1">
                  <c:v>3.9513108614232254E-2</c:v>
                </c:pt>
                <c:pt idx="2">
                  <c:v>3.8961038961038953E-2</c:v>
                </c:pt>
                <c:pt idx="3">
                  <c:v>6.3795712484237196E-2</c:v>
                </c:pt>
                <c:pt idx="4">
                  <c:v>5.2668752988220872E-2</c:v>
                </c:pt>
                <c:pt idx="5">
                  <c:v>6.6219354838709471E-2</c:v>
                </c:pt>
                <c:pt idx="6">
                  <c:v>3.1774615161196791E-2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33-4ACF-A89A-A42766B65B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76903519"/>
        <c:axId val="876899199"/>
      </c:lineChart>
      <c:catAx>
        <c:axId val="8769035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99199"/>
        <c:crosses val="autoZero"/>
        <c:auto val="1"/>
        <c:lblAlgn val="ctr"/>
        <c:lblOffset val="100"/>
        <c:noMultiLvlLbl val="0"/>
      </c:catAx>
      <c:valAx>
        <c:axId val="87689919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90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 .pandemic inflation'!$L$19</c:f>
              <c:strCache>
                <c:ptCount val="1"/>
                <c:pt idx="0">
                  <c:v>Before COVID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 .pandemic inflation'!$M$18:$Q$18</c:f>
              <c:strCache>
                <c:ptCount val="5"/>
                <c:pt idx="0">
                  <c:v>Food and beverages</c:v>
                </c:pt>
                <c:pt idx="1">
                  <c:v>Fuel and light</c:v>
                </c:pt>
                <c:pt idx="2">
                  <c:v>Household goods and services</c:v>
                </c:pt>
                <c:pt idx="3">
                  <c:v>Health</c:v>
                </c:pt>
                <c:pt idx="4">
                  <c:v>Transport and communication</c:v>
                </c:pt>
              </c:strCache>
            </c:strRef>
          </c:cat>
          <c:val>
            <c:numRef>
              <c:f>'4 .pandemic inflation'!$M$19:$Q$19</c:f>
              <c:numCache>
                <c:formatCode>0%</c:formatCode>
                <c:ptCount val="5"/>
                <c:pt idx="0">
                  <c:v>9.4545454545454544E-2</c:v>
                </c:pt>
                <c:pt idx="1">
                  <c:v>6.3583815028901605E-2</c:v>
                </c:pt>
                <c:pt idx="2">
                  <c:v>1.8789144050104505E-2</c:v>
                </c:pt>
                <c:pt idx="3">
                  <c:v>4.1895604395604358E-2</c:v>
                </c:pt>
                <c:pt idx="4">
                  <c:v>5.1654560129136447E-2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D-4172-8F0D-FBEA12708CE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84670495"/>
        <c:axId val="884669535"/>
      </c:barChart>
      <c:catAx>
        <c:axId val="88467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69535"/>
        <c:crosses val="autoZero"/>
        <c:auto val="1"/>
        <c:lblAlgn val="ctr"/>
        <c:lblOffset val="100"/>
        <c:noMultiLvlLbl val="0"/>
      </c:catAx>
      <c:valAx>
        <c:axId val="884669535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704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'4 .pandemic inflation'!$L$20</c:f>
              <c:strCache>
                <c:ptCount val="1"/>
                <c:pt idx="0">
                  <c:v>After COVID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 .pandemic inflation'!$M$18:$Q$18</c:f>
              <c:strCache>
                <c:ptCount val="5"/>
                <c:pt idx="0">
                  <c:v>Food and beverages</c:v>
                </c:pt>
                <c:pt idx="1">
                  <c:v>Fuel and light</c:v>
                </c:pt>
                <c:pt idx="2">
                  <c:v>Household goods and services</c:v>
                </c:pt>
                <c:pt idx="3">
                  <c:v>Health</c:v>
                </c:pt>
                <c:pt idx="4">
                  <c:v>Transport and communication</c:v>
                </c:pt>
              </c:strCache>
            </c:strRef>
          </c:cat>
          <c:val>
            <c:numRef>
              <c:f>'4 .pandemic inflation'!$M$20:$Q$20</c:f>
              <c:numCache>
                <c:formatCode>0%</c:formatCode>
                <c:ptCount val="5"/>
                <c:pt idx="0">
                  <c:v>4.3506493506493431E-2</c:v>
                </c:pt>
                <c:pt idx="1">
                  <c:v>0.12332628611698379</c:v>
                </c:pt>
                <c:pt idx="2">
                  <c:v>5.6693989071038134E-2</c:v>
                </c:pt>
                <c:pt idx="3">
                  <c:v>7.383419689119175E-2</c:v>
                </c:pt>
                <c:pt idx="4">
                  <c:v>0.10296296296296301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7C-4800-9227-F2C8E0F8D4F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78262335"/>
        <c:axId val="1278259935"/>
      </c:barChart>
      <c:catAx>
        <c:axId val="127826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259935"/>
        <c:crosses val="autoZero"/>
        <c:auto val="1"/>
        <c:lblAlgn val="ctr"/>
        <c:lblOffset val="100"/>
        <c:noMultiLvlLbl val="0"/>
      </c:catAx>
      <c:valAx>
        <c:axId val="1278259935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26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  <cx:data id="1">
      <cx:strDim type="cat">
        <cx:f>_xlchart.v1.0</cx:f>
      </cx:strDim>
      <cx:numDim type="size">
        <cx:f>_xlchart.v1.3</cx:f>
      </cx:numDim>
    </cx:data>
    <cx:data id="2">
      <cx:strDim type="cat">
        <cx:f>_xlchart.v1.0</cx:f>
      </cx:strDim>
      <cx:numDim type="size">
        <cx:f>_xlchart.v1.5</cx:f>
      </cx:numDim>
    </cx:data>
    <cx:data id="3">
      <cx:strDim type="cat">
        <cx:f>_xlchart.v1.0</cx:f>
      </cx:strDim>
      <cx:numDim type="size">
        <cx:f>_xlchart.v1.7</cx:f>
      </cx:numDim>
    </cx:data>
    <cx:data id="4">
      <cx:strDim type="cat">
        <cx:f>_xlchart.v1.0</cx:f>
      </cx:strDim>
      <cx:numDim type="size">
        <cx:f>_xlchart.v1.9</cx:f>
      </cx:numDim>
    </cx:data>
    <cx:data id="5">
      <cx:strDim type="cat">
        <cx:f>_xlchart.v1.0</cx:f>
      </cx:strDim>
      <cx:numDim type="size">
        <cx:f>_xlchart.v1.11</cx:f>
      </cx:numDim>
    </cx:data>
  </cx:chartData>
  <cx:chart>
    <cx:title pos="t" align="ctr" overlay="0"/>
    <cx:plotArea>
      <cx:plotAreaRegion>
        <cx:series layoutId="treemap" uniqueId="{579423BA-F63F-42D9-A25D-5232F432C44E}" formatIdx="0">
          <cx:tx>
            <cx:txData>
              <cx:f>_xlchart.v1.2</cx:f>
              <cx:v>Rural</cx:v>
            </cx:txData>
          </cx:tx>
          <cx:dataLabels pos="ctr"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  <cx:series layoutId="treemap" hidden="1" uniqueId="{4DFDB498-CDFD-4310-B30E-F38A8A358E4E}" formatIdx="1">
          <cx:tx>
            <cx:txData>
              <cx:f>_xlchart.v1.4</cx:f>
              <cx:v>Urban</cx:v>
            </cx:txData>
          </cx:tx>
          <cx:dataLabels pos="ctr">
            <cx:visibility seriesName="0" categoryName="1" value="0"/>
          </cx:dataLabels>
          <cx:dataId val="1"/>
          <cx:layoutPr>
            <cx:parentLabelLayout val="overlapping"/>
          </cx:layoutPr>
        </cx:series>
        <cx:series layoutId="treemap" hidden="1" uniqueId="{1389EB78-5BEA-40B0-8829-9326BC13BF27}" formatIdx="2">
          <cx:tx>
            <cx:txData>
              <cx:f>_xlchart.v1.6</cx:f>
              <cx:v>Rural+Urban</cx:v>
            </cx:txData>
          </cx:tx>
          <cx:dataLabels pos="ctr">
            <cx:visibility seriesName="0" categoryName="1" value="0"/>
          </cx:dataLabels>
          <cx:dataId val="2"/>
          <cx:layoutPr>
            <cx:parentLabelLayout val="overlapping"/>
          </cx:layoutPr>
        </cx:series>
        <cx:series layoutId="treemap" hidden="1" uniqueId="{EF91B787-295B-4663-B3B5-6A1CE7CA709F}" formatIdx="3">
          <cx:tx>
            <cx:txData>
              <cx:f>_xlchart.v1.8</cx:f>
              <cx:v>Rural %</cx:v>
            </cx:txData>
          </cx:tx>
          <cx:dataLabels pos="ctr">
            <cx:visibility seriesName="0" categoryName="1" value="0"/>
          </cx:dataLabels>
          <cx:dataId val="3"/>
          <cx:layoutPr>
            <cx:parentLabelLayout val="overlapping"/>
          </cx:layoutPr>
        </cx:series>
        <cx:series layoutId="treemap" hidden="1" uniqueId="{39976B92-54E8-4F33-8338-511AB6D5275F}" formatIdx="4">
          <cx:tx>
            <cx:txData>
              <cx:f>_xlchart.v1.10</cx:f>
              <cx:v>Urban %</cx:v>
            </cx:txData>
          </cx:tx>
          <cx:dataLabels pos="ctr">
            <cx:visibility seriesName="0" categoryName="1" value="0"/>
          </cx:dataLabels>
          <cx:dataId val="4"/>
          <cx:layoutPr>
            <cx:parentLabelLayout val="overlapping"/>
          </cx:layoutPr>
        </cx:series>
        <cx:series layoutId="treemap" hidden="1" uniqueId="{34197779-FB46-4AC1-914D-A597B69A3335}" formatIdx="5">
          <cx:tx>
            <cx:txData>
              <cx:f>_xlchart.v1.12</cx:f>
              <cx:v>Rural+Urban %</cx:v>
            </cx:txData>
          </cx:tx>
          <cx:dataLabels pos="ctr">
            <cx:visibility seriesName="0" categoryName="1" value="0"/>
          </cx:dataLabels>
          <cx:dataId val="5"/>
          <cx:layoutPr>
            <cx:parentLabelLayout val="overlapping"/>
          </cx:layoutPr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2</xdr:row>
      <xdr:rowOff>38100</xdr:rowOff>
    </xdr:from>
    <xdr:to>
      <xdr:col>12</xdr:col>
      <xdr:colOff>201057</xdr:colOff>
      <xdr:row>17</xdr:row>
      <xdr:rowOff>76604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BB08DF-2DF2-7A77-A06B-268D4AF2A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419100"/>
          <a:ext cx="7392432" cy="2896004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18</xdr:row>
      <xdr:rowOff>152400</xdr:rowOff>
    </xdr:from>
    <xdr:to>
      <xdr:col>12</xdr:col>
      <xdr:colOff>115314</xdr:colOff>
      <xdr:row>29</xdr:row>
      <xdr:rowOff>152692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CB2384-CB83-4EA3-BC5B-17D209DA7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3581400"/>
          <a:ext cx="7268589" cy="2095792"/>
        </a:xfrm>
        <a:prstGeom prst="rect">
          <a:avLst/>
        </a:prstGeom>
      </xdr:spPr>
    </xdr:pic>
    <xdr:clientData/>
  </xdr:twoCellAnchor>
  <xdr:twoCellAnchor editAs="oneCell">
    <xdr:from>
      <xdr:col>12</xdr:col>
      <xdr:colOff>431206</xdr:colOff>
      <xdr:row>2</xdr:row>
      <xdr:rowOff>20974</xdr:rowOff>
    </xdr:from>
    <xdr:to>
      <xdr:col>22</xdr:col>
      <xdr:colOff>437699</xdr:colOff>
      <xdr:row>16</xdr:row>
      <xdr:rowOff>154715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5E776-9E89-18BF-08A8-6E5B1104F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79063" y="401974"/>
          <a:ext cx="7558457" cy="2800741"/>
        </a:xfrm>
        <a:prstGeom prst="rect">
          <a:avLst/>
        </a:prstGeom>
      </xdr:spPr>
    </xdr:pic>
    <xdr:clientData/>
  </xdr:twoCellAnchor>
  <xdr:twoCellAnchor editAs="oneCell">
    <xdr:from>
      <xdr:col>12</xdr:col>
      <xdr:colOff>374196</xdr:colOff>
      <xdr:row>18</xdr:row>
      <xdr:rowOff>110218</xdr:rowOff>
    </xdr:from>
    <xdr:to>
      <xdr:col>22</xdr:col>
      <xdr:colOff>390216</xdr:colOff>
      <xdr:row>30</xdr:row>
      <xdr:rowOff>43853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A03713-7A96-A557-4162-7FFE475C7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22053" y="3539218"/>
          <a:ext cx="7567984" cy="2219635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333375</xdr:colOff>
      <xdr:row>30</xdr:row>
      <xdr:rowOff>152400</xdr:rowOff>
    </xdr:from>
    <xdr:to>
      <xdr:col>15</xdr:col>
      <xdr:colOff>397026</xdr:colOff>
      <xdr:row>44</xdr:row>
      <xdr:rowOff>152772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0FB94AE-D961-D7BE-2F9D-EF7851CFE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94982" y="5867400"/>
          <a:ext cx="7615615" cy="26673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53519</xdr:colOff>
      <xdr:row>4</xdr:row>
      <xdr:rowOff>75307</xdr:rowOff>
    </xdr:from>
    <xdr:to>
      <xdr:col>25</xdr:col>
      <xdr:colOff>137300</xdr:colOff>
      <xdr:row>27</xdr:row>
      <xdr:rowOff>9875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621F300-1DAA-7E26-645A-7E95CF1742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12844" y="837307"/>
              <a:ext cx="4960581" cy="43160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133149</xdr:colOff>
      <xdr:row>1</xdr:row>
      <xdr:rowOff>94038</xdr:rowOff>
    </xdr:from>
    <xdr:to>
      <xdr:col>20</xdr:col>
      <xdr:colOff>429512</xdr:colOff>
      <xdr:row>15</xdr:row>
      <xdr:rowOff>170238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6B737A-10A7-E512-01CB-57C1D38D4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464780</xdr:colOff>
      <xdr:row>25</xdr:row>
      <xdr:rowOff>120861</xdr:rowOff>
    </xdr:from>
    <xdr:to>
      <xdr:col>14</xdr:col>
      <xdr:colOff>870628</xdr:colOff>
      <xdr:row>43</xdr:row>
      <xdr:rowOff>63712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BA6A0D-4E77-B7DF-4A02-A8D90BFDB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865850</xdr:colOff>
      <xdr:row>25</xdr:row>
      <xdr:rowOff>120861</xdr:rowOff>
    </xdr:from>
    <xdr:to>
      <xdr:col>18</xdr:col>
      <xdr:colOff>302633</xdr:colOff>
      <xdr:row>43</xdr:row>
      <xdr:rowOff>71995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8FB540-EDF0-EC6E-0353-865B5E4E3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455543</xdr:colOff>
      <xdr:row>23</xdr:row>
      <xdr:rowOff>8283</xdr:rowOff>
    </xdr:from>
    <xdr:to>
      <xdr:col>18</xdr:col>
      <xdr:colOff>289892</xdr:colOff>
      <xdr:row>25</xdr:row>
      <xdr:rowOff>132522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7AB803F-93D6-95E6-7717-5AFEB6EAADBD}"/>
            </a:ext>
          </a:extLst>
        </xdr:cNvPr>
        <xdr:cNvSpPr/>
      </xdr:nvSpPr>
      <xdr:spPr>
        <a:xfrm>
          <a:off x="9707217" y="4389783"/>
          <a:ext cx="9135718" cy="505239"/>
        </a:xfrm>
        <a:prstGeom prst="round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>
            <a:buFont typeface="Arial" panose="020B0604020202020204" pitchFamily="34" charset="0"/>
            <a:buNone/>
          </a:pPr>
          <a:r>
            <a:rPr lang="en-IN" sz="2800" b="1"/>
            <a:t>Rurual + Urban 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50CADC-6581-4143-A194-292AA04C5453}" autoFormatId="16" applyNumberFormats="0" applyBorderFormats="0" applyFontFormats="0" applyPatternFormats="0" applyAlignmentFormats="0" applyWidthHeightFormats="0">
  <queryTableRefresh nextId="31">
    <queryTableFields count="30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E97DF55-8016-4483-AF53-DB7AF96CFC6C}" autoFormatId="16" applyNumberFormats="0" applyBorderFormats="0" applyFontFormats="0" applyPatternFormats="0" applyAlignmentFormats="0" applyWidthHeightFormats="0">
  <queryTableRefresh nextId="31">
    <queryTableFields count="30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DCD7712-8A96-4975-A008-38C707FD8B0E}" autoFormatId="16" applyNumberFormats="0" applyBorderFormats="0" applyFontFormats="0" applyPatternFormats="0" applyAlignmentFormats="0" applyWidthHeightFormats="0">
  <queryTableRefresh nextId="34" unboundColumnsRight="2">
    <queryTableFields count="18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32" dataBound="0" tableColumnId="32"/>
      <queryTableField id="33" dataBound="0" tableColumnId="33"/>
    </queryTableFields>
    <queryTableDeletedFields count="14">
      <deletedField name="Pan, tobacco and intoxicants"/>
      <deletedField name="Clothing"/>
      <deletedField name="Footwear"/>
      <deletedField name="Clothing and footwear"/>
      <deletedField name="Housing"/>
      <deletedField name="Fuel and light"/>
      <deletedField name="Household goods and services"/>
      <deletedField name="Health"/>
      <deletedField name="Transport and communication"/>
      <deletedField name="Recreation and amusement"/>
      <deletedField name="Education"/>
      <deletedField name="Personal care and effects"/>
      <deletedField name="Miscellaneous"/>
      <deletedField name="General index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62E15-3299-438F-903C-5F99A142D4E6}" name="All_India_Index_Upto_April23__1" displayName="All_India_Index_Upto_April23__1" ref="A1:AD373" tableType="queryTable" totalsRowShown="0">
  <autoFilter ref="A1:AD373" xr:uid="{BAD62E15-3299-438F-903C-5F99A142D4E6}"/>
  <tableColumns count="30">
    <tableColumn id="1" xr3:uid="{2B16ACFB-3620-42C6-B274-0B1AE98E159C}" uniqueName="1" name="Sector" queryTableFieldId="1" dataDxfId="11"/>
    <tableColumn id="2" xr3:uid="{9EE15477-7EBB-42AE-8AB0-2DD01A386157}" uniqueName="2" name="Year" queryTableFieldId="2"/>
    <tableColumn id="3" xr3:uid="{41FAA232-F108-4F21-BC19-8820ECC1435E}" uniqueName="3" name="Month" queryTableFieldId="3" dataDxfId="10"/>
    <tableColumn id="4" xr3:uid="{CF514D07-BD66-43DB-AE21-29A2BB3DF927}" uniqueName="4" name="Cereals and products" queryTableFieldId="4"/>
    <tableColumn id="5" xr3:uid="{468D33F5-E7C6-483B-888E-65F48EF398C4}" uniqueName="5" name="Meat and fish" queryTableFieldId="5"/>
    <tableColumn id="6" xr3:uid="{C8282E0D-648F-4124-98D5-BBF59FF1A1BF}" uniqueName="6" name="Egg" queryTableFieldId="6"/>
    <tableColumn id="7" xr3:uid="{DFDBD166-89F4-4566-B378-B5CF57A8DB75}" uniqueName="7" name="Milk and products" queryTableFieldId="7"/>
    <tableColumn id="8" xr3:uid="{14D2FECE-13CD-4880-9B48-F147EE9656C3}" uniqueName="8" name="Oils and fats" queryTableFieldId="8"/>
    <tableColumn id="9" xr3:uid="{A8C63451-05EC-4FD6-8BB8-DCE51C6D3CFF}" uniqueName="9" name="Fruits" queryTableFieldId="9"/>
    <tableColumn id="10" xr3:uid="{30452B67-283C-41E4-9391-21B0BEE3DD92}" uniqueName="10" name="Vegetables" queryTableFieldId="10"/>
    <tableColumn id="11" xr3:uid="{4F176FA6-EE86-4D79-B087-24D9AA7212AA}" uniqueName="11" name="Pulses and products" queryTableFieldId="11"/>
    <tableColumn id="12" xr3:uid="{C092F122-800B-41C7-9509-A2D99E1C040C}" uniqueName="12" name="Sugar and Confectionery" queryTableFieldId="12"/>
    <tableColumn id="13" xr3:uid="{2F05BDB7-D6FC-4D8F-BA94-6CBADA53F168}" uniqueName="13" name="Spices" queryTableFieldId="13"/>
    <tableColumn id="14" xr3:uid="{8D8EECFA-63C3-419D-94A8-4FB5FBC84DFF}" uniqueName="14" name="Non-alcoholic beverages" queryTableFieldId="14"/>
    <tableColumn id="15" xr3:uid="{910FB16F-68DC-4E3E-B1FB-E47D0D379F1E}" uniqueName="15" name="Prepared meals, snacks, sweets etc." queryTableFieldId="15"/>
    <tableColumn id="16" xr3:uid="{EB07A8DA-4A12-4E68-9538-32D360409892}" uniqueName="16" name="Food and beverages" queryTableFieldId="16"/>
    <tableColumn id="17" xr3:uid="{5106D08B-2F9E-417D-8A88-C89D96F5D398}" uniqueName="17" name="Pan, tobacco and intoxicants" queryTableFieldId="17"/>
    <tableColumn id="18" xr3:uid="{9B6EE862-59A1-40AC-866A-6BD7A08D2F05}" uniqueName="18" name="Clothing" queryTableFieldId="18"/>
    <tableColumn id="19" xr3:uid="{B242561C-8E1D-44E7-998B-FEF9A10BE08C}" uniqueName="19" name="Footwear" queryTableFieldId="19"/>
    <tableColumn id="20" xr3:uid="{9E031F00-5645-44B5-92DE-26372B07C9D3}" uniqueName="20" name="Clothing and footwear" queryTableFieldId="20"/>
    <tableColumn id="21" xr3:uid="{B33A96D1-9334-4D31-8CF3-5AB1755EEF83}" uniqueName="21" name="Housing" queryTableFieldId="21" dataDxfId="9"/>
    <tableColumn id="22" xr3:uid="{BF0B088F-64AD-47CF-A7EC-9A5C504AE393}" uniqueName="22" name="Fuel and light" queryTableFieldId="22"/>
    <tableColumn id="23" xr3:uid="{8283CA3E-3967-4B15-B30E-73B5DF02CE70}" uniqueName="23" name="Household goods and services" queryTableFieldId="23"/>
    <tableColumn id="24" xr3:uid="{C7D52C58-7E31-421F-AD34-6E8FC7B65BA7}" uniqueName="24" name="Health" queryTableFieldId="24"/>
    <tableColumn id="25" xr3:uid="{3E4DF61B-29F3-4A65-8115-C0A7CFFB08D0}" uniqueName="25" name="Transport and communication" queryTableFieldId="25"/>
    <tableColumn id="26" xr3:uid="{20DC10BA-EC38-42E8-B24D-BCFF2E8966D4}" uniqueName="26" name="Recreation and amusement" queryTableFieldId="26"/>
    <tableColumn id="27" xr3:uid="{287A4132-C41D-41FF-8792-651449CC6089}" uniqueName="27" name="Education" queryTableFieldId="27"/>
    <tableColumn id="28" xr3:uid="{5B8CE41F-2322-4006-B976-E23AED008CA6}" uniqueName="28" name="Personal care and effects" queryTableFieldId="28"/>
    <tableColumn id="29" xr3:uid="{95877BC5-5776-4BCC-B762-558637C019D1}" uniqueName="29" name="Miscellaneous" queryTableFieldId="29"/>
    <tableColumn id="30" xr3:uid="{BA4E5829-EBB8-44C0-9AF5-277CBE041742}" uniqueName="30" name="General index" queryTableFieldId="3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040F84-5359-4A7A-ADDF-E41565AC200E}" name="All_India_Index_Upto_April23__13" displayName="All_India_Index_Upto_April23__13" ref="A1:AD367" tableType="queryTable" totalsRowShown="0" headerRowDxfId="8">
  <autoFilter ref="A1:AD367" xr:uid="{5E040F84-5359-4A7A-ADDF-E41565AC200E}">
    <filterColumn colId="1">
      <filters>
        <filter val="2021"/>
      </filters>
    </filterColumn>
  </autoFilter>
  <tableColumns count="30">
    <tableColumn id="1" xr3:uid="{FE7CB8C2-1B34-4CA1-BD8D-3CFCB4D92E89}" uniqueName="1" name="Sector" queryTableFieldId="1" dataDxfId="7"/>
    <tableColumn id="2" xr3:uid="{2568D869-E67F-4B92-959A-758A4F1AFFF5}" uniqueName="2" name="Year" queryTableFieldId="2"/>
    <tableColumn id="3" xr3:uid="{D8956F74-8652-41CB-92C2-AAF51E6AE315}" uniqueName="3" name="Month" queryTableFieldId="3" dataDxfId="6"/>
    <tableColumn id="4" xr3:uid="{E2F67FEF-E841-4717-883C-9484A961E729}" uniqueName="4" name="Cereals and products" queryTableFieldId="4"/>
    <tableColumn id="5" xr3:uid="{9835481A-EF11-4A3E-A4B0-DA86A5CAC0D5}" uniqueName="5" name="Meat and fish" queryTableFieldId="5"/>
    <tableColumn id="6" xr3:uid="{D2FAB451-8F6E-429A-B593-E335952368AE}" uniqueName="6" name="Egg" queryTableFieldId="6"/>
    <tableColumn id="7" xr3:uid="{D4D8C1CC-BC5D-4123-9262-78FE33BC964D}" uniqueName="7" name="Milk and products" queryTableFieldId="7"/>
    <tableColumn id="8" xr3:uid="{D4FD8D72-1F66-468C-ADC1-38C524D4F868}" uniqueName="8" name="Oils and fats" queryTableFieldId="8"/>
    <tableColumn id="9" xr3:uid="{EA5D74A7-0833-4634-8F3C-622073368B9E}" uniqueName="9" name="Fruits" queryTableFieldId="9"/>
    <tableColumn id="10" xr3:uid="{B999B7EA-EF94-4605-AE7B-3A0F25A1DD65}" uniqueName="10" name="Vegetables" queryTableFieldId="10"/>
    <tableColumn id="11" xr3:uid="{FD4B61C7-CB35-4DF9-AF73-464F8767840D}" uniqueName="11" name="Pulses and products" queryTableFieldId="11"/>
    <tableColumn id="12" xr3:uid="{B4A1DFBA-BA9C-482E-9FBD-692A48DF08F2}" uniqueName="12" name="Sugar and Confectionery" queryTableFieldId="12"/>
    <tableColumn id="13" xr3:uid="{7402822A-039F-4DCA-AAC7-70E8E09EE868}" uniqueName="13" name="Spices" queryTableFieldId="13"/>
    <tableColumn id="14" xr3:uid="{9CD49629-4B10-4714-A403-5394AAA62287}" uniqueName="14" name="Non-alcoholic beverages" queryTableFieldId="14"/>
    <tableColumn id="15" xr3:uid="{7248219B-F492-48CB-AC18-326CB9B47157}" uniqueName="15" name="Prepared meals, snacks, sweets etc." queryTableFieldId="15"/>
    <tableColumn id="16" xr3:uid="{86C94208-0D46-41FD-96C0-6F607C2B2BF4}" uniqueName="16" name="Food and beverages" queryTableFieldId="16"/>
    <tableColumn id="17" xr3:uid="{F7373E8F-36B6-4A85-8EA6-37C6898B2C9D}" uniqueName="17" name="Pan, tobacco and intoxicants" queryTableFieldId="17"/>
    <tableColumn id="18" xr3:uid="{A2A6BFEF-C9F3-4F5B-AA77-A9DB91A9C683}" uniqueName="18" name="Clothing" queryTableFieldId="18"/>
    <tableColumn id="19" xr3:uid="{B5FFB520-31CF-4553-BEE5-5D94B74C2E65}" uniqueName="19" name="Footwear" queryTableFieldId="19"/>
    <tableColumn id="20" xr3:uid="{37E1B6E2-843A-40A8-84BB-D1DE401E050D}" uniqueName="20" name="Clothing and footwear" queryTableFieldId="20"/>
    <tableColumn id="21" xr3:uid="{040D55C3-DDC2-435E-9785-C3C2C14FE1F9}" uniqueName="21" name="Housing" queryTableFieldId="21" dataDxfId="5"/>
    <tableColumn id="22" xr3:uid="{81B5A944-BAAF-497F-AAB4-E2FB78B764B8}" uniqueName="22" name="Fuel and light" queryTableFieldId="22"/>
    <tableColumn id="23" xr3:uid="{2DDE79CA-13D6-4DAA-95D2-3427A9CBDB71}" uniqueName="23" name="Household goods and services" queryTableFieldId="23"/>
    <tableColumn id="24" xr3:uid="{DBC9A379-0CA1-46A4-8F5D-FE4425E6188D}" uniqueName="24" name="Health" queryTableFieldId="24"/>
    <tableColumn id="25" xr3:uid="{2163D1C9-6C8D-4849-B144-C094AB105A04}" uniqueName="25" name="Transport and communication" queryTableFieldId="25"/>
    <tableColumn id="26" xr3:uid="{90B3748C-1CB3-42B2-BD16-C91D3119C26B}" uniqueName="26" name="Recreation and amusement" queryTableFieldId="26"/>
    <tableColumn id="27" xr3:uid="{2930CDDD-CA0D-4793-AD57-31C415959A76}" uniqueName="27" name="Education" queryTableFieldId="27"/>
    <tableColumn id="28" xr3:uid="{CA76EEC2-7F96-4235-8DA9-B6BD81DB5F82}" uniqueName="28" name="Personal care and effects" queryTableFieldId="28"/>
    <tableColumn id="29" xr3:uid="{66E013B1-8E8E-49C3-806D-38723B35EC2D}" uniqueName="29" name="Miscellaneous" queryTableFieldId="29"/>
    <tableColumn id="30" xr3:uid="{041BD778-4010-4120-BD4C-CED9EEFC1B17}" uniqueName="30" name="General index" queryTableFieldId="3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3216F2-C467-45EB-B765-E58FBA52C5F6}" name="All_India_Index_Upto_April23__134" displayName="All_India_Index_Upto_April23__134" ref="A1:R367" tableType="queryTable" totalsRowShown="0" headerRowDxfId="4">
  <autoFilter ref="A1:R367" xr:uid="{ED3216F2-C467-45EB-B765-E58FBA52C5F6}"/>
  <tableColumns count="18">
    <tableColumn id="1" xr3:uid="{67F68249-F057-41AB-9474-D8998F847945}" uniqueName="1" name="Sector" queryTableFieldId="1" dataDxfId="3"/>
    <tableColumn id="2" xr3:uid="{D0C6C461-FB8F-4C60-BC07-9DDDC479293F}" uniqueName="2" name="Year" queryTableFieldId="2"/>
    <tableColumn id="3" xr3:uid="{1A725AF2-5DDA-402C-B239-DE13AB6E3C85}" uniqueName="3" name="Month" queryTableFieldId="3" dataDxfId="2"/>
    <tableColumn id="4" xr3:uid="{F703425B-32E0-4E3C-8FD8-AC4C37406F5E}" uniqueName="4" name="Cereals and products" queryTableFieldId="4"/>
    <tableColumn id="5" xr3:uid="{E60DB676-08DA-4735-8BF7-8B52B9932964}" uniqueName="5" name="Meat and fish" queryTableFieldId="5"/>
    <tableColumn id="6" xr3:uid="{3B9CAB7A-5B2A-49F8-A1C9-6CD364194439}" uniqueName="6" name="Egg" queryTableFieldId="6"/>
    <tableColumn id="7" xr3:uid="{13A7888D-DE13-41EC-85CE-5DEFCF2B2BB7}" uniqueName="7" name="Milk and products" queryTableFieldId="7"/>
    <tableColumn id="8" xr3:uid="{B5DEBE94-6804-4F3C-9990-1F3340C03D2D}" uniqueName="8" name="Oils and fats" queryTableFieldId="8"/>
    <tableColumn id="9" xr3:uid="{44291421-73CC-4148-8483-B478DE27B8A2}" uniqueName="9" name="Fruits" queryTableFieldId="9"/>
    <tableColumn id="10" xr3:uid="{211E85F2-0FDD-4532-A126-D5C4F65F1C40}" uniqueName="10" name="Vegetables" queryTableFieldId="10"/>
    <tableColumn id="11" xr3:uid="{0B230120-163E-498D-87C8-33DC841B3D9E}" uniqueName="11" name="Pulses and products" queryTableFieldId="11"/>
    <tableColumn id="12" xr3:uid="{C5426E35-646E-40B1-8E0A-EB3DB907C2B0}" uniqueName="12" name="Sugar and Confectionery" queryTableFieldId="12"/>
    <tableColumn id="13" xr3:uid="{E4989B0D-CE81-4421-A25B-2287E0C7C379}" uniqueName="13" name="Spices" queryTableFieldId="13"/>
    <tableColumn id="14" xr3:uid="{601EF968-7747-4C80-80B0-4050D2E73796}" uniqueName="14" name="Non-alcoholic beverages" queryTableFieldId="14"/>
    <tableColumn id="15" xr3:uid="{A7DDCD93-E6C9-470B-8BB3-454AD2B75143}" uniqueName="15" name="Prepared meals, snacks, sweets etc." queryTableFieldId="15"/>
    <tableColumn id="16" xr3:uid="{4CFDA4CD-B786-4843-B574-C29EA975CE00}" uniqueName="16" name="Food and beverages" queryTableFieldId="16"/>
    <tableColumn id="32" xr3:uid="{4C38C61E-790E-4E75-B435-F63BEE813E02}" uniqueName="32" name="Food buckts avg" queryTableFieldId="32" dataDxfId="1">
      <calculatedColumnFormula>AVERAGE(All_India_Index_Upto_April23__134[[#This Row],[Cereals and products]:[Food and beverages]])</calculatedColumnFormula>
    </tableColumn>
    <tableColumn id="33" xr3:uid="{7B9C1D12-0C9B-482B-B2E8-2295347CFDEB}" uniqueName="33" name="Food buckts avg2" queryTableFieldId="33" dataDxfId="0">
      <calculatedColumnFormula>AVERAGE(All_India_Index_Upto_April23__134[[#This Row],[Cereals and products]:[Prepared meals, snacks, sweets etc.]])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3438-856D-45A0-9243-4F8AC0EA0784}">
  <dimension ref="A1:AD373"/>
  <sheetViews>
    <sheetView zoomScaleNormal="100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12.140625" bestFit="1" customWidth="1"/>
    <col min="2" max="2" width="7.28515625" bestFit="1" customWidth="1"/>
    <col min="3" max="3" width="10.42578125" bestFit="1" customWidth="1"/>
    <col min="4" max="4" width="22.7109375" bestFit="1" customWidth="1"/>
    <col min="5" max="5" width="15.42578125" bestFit="1" customWidth="1"/>
    <col min="6" max="6" width="6.42578125" bestFit="1" customWidth="1"/>
    <col min="7" max="7" width="19.28515625" bestFit="1" customWidth="1"/>
    <col min="8" max="8" width="14.42578125" bestFit="1" customWidth="1"/>
    <col min="9" max="9" width="8.42578125" bestFit="1" customWidth="1"/>
    <col min="10" max="10" width="13.28515625" bestFit="1" customWidth="1"/>
    <col min="11" max="11" width="21.7109375" bestFit="1" customWidth="1"/>
    <col min="12" max="12" width="25.85546875" bestFit="1" customWidth="1"/>
    <col min="13" max="13" width="9.28515625" bestFit="1" customWidth="1"/>
    <col min="14" max="14" width="26" bestFit="1" customWidth="1"/>
    <col min="15" max="15" width="36.5703125" bestFit="1" customWidth="1"/>
    <col min="16" max="16" width="21.42578125" bestFit="1" customWidth="1"/>
    <col min="17" max="17" width="29.42578125" bestFit="1" customWidth="1"/>
    <col min="18" max="18" width="11" bestFit="1" customWidth="1"/>
    <col min="19" max="19" width="11.5703125" bestFit="1" customWidth="1"/>
    <col min="20" max="20" width="23.42578125" bestFit="1" customWidth="1"/>
    <col min="21" max="21" width="10.7109375" bestFit="1" customWidth="1"/>
    <col min="22" max="22" width="15.42578125" bestFit="1" customWidth="1"/>
    <col min="23" max="23" width="31.28515625" bestFit="1" customWidth="1"/>
    <col min="24" max="24" width="9.28515625" bestFit="1" customWidth="1"/>
    <col min="25" max="25" width="30.5703125" bestFit="1" customWidth="1"/>
    <col min="26" max="26" width="28.5703125" bestFit="1" customWidth="1"/>
    <col min="27" max="27" width="12.28515625" bestFit="1" customWidth="1"/>
    <col min="28" max="28" width="26.42578125" bestFit="1" customWidth="1"/>
    <col min="29" max="29" width="16.42578125" bestFit="1" customWidth="1"/>
    <col min="30" max="30" width="16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2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 t="s">
        <v>34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25">
      <c r="A4" t="s">
        <v>35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 t="s">
        <v>34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25">
      <c r="A5" t="s">
        <v>30</v>
      </c>
      <c r="B5">
        <v>2013</v>
      </c>
      <c r="C5" t="s">
        <v>36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25">
      <c r="A6" t="s">
        <v>33</v>
      </c>
      <c r="B6">
        <v>2013</v>
      </c>
      <c r="C6" t="s">
        <v>36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 t="s">
        <v>37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25">
      <c r="A7" t="s">
        <v>35</v>
      </c>
      <c r="B7">
        <v>2013</v>
      </c>
      <c r="C7" t="s">
        <v>36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 t="s">
        <v>37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25">
      <c r="A8" t="s">
        <v>30</v>
      </c>
      <c r="B8">
        <v>2013</v>
      </c>
      <c r="C8" t="s">
        <v>38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25">
      <c r="A9" t="s">
        <v>33</v>
      </c>
      <c r="B9">
        <v>2013</v>
      </c>
      <c r="C9" t="s">
        <v>38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 t="s">
        <v>37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25">
      <c r="A10" t="s">
        <v>35</v>
      </c>
      <c r="B10">
        <v>2013</v>
      </c>
      <c r="C10" t="s">
        <v>38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 t="s">
        <v>37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25">
      <c r="A11" t="s">
        <v>30</v>
      </c>
      <c r="B11">
        <v>2013</v>
      </c>
      <c r="C11" t="s">
        <v>39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25">
      <c r="A12" t="s">
        <v>33</v>
      </c>
      <c r="B12">
        <v>2013</v>
      </c>
      <c r="C12" t="s">
        <v>39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 t="s">
        <v>40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25">
      <c r="A13" t="s">
        <v>35</v>
      </c>
      <c r="B13">
        <v>2013</v>
      </c>
      <c r="C13" t="s">
        <v>39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 t="s">
        <v>40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25">
      <c r="A14" t="s">
        <v>30</v>
      </c>
      <c r="B14">
        <v>2013</v>
      </c>
      <c r="C14" t="s">
        <v>41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25">
      <c r="A15" t="s">
        <v>33</v>
      </c>
      <c r="B15">
        <v>2013</v>
      </c>
      <c r="C15" t="s">
        <v>41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 t="s">
        <v>40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25">
      <c r="A16" t="s">
        <v>35</v>
      </c>
      <c r="B16">
        <v>2013</v>
      </c>
      <c r="C16" t="s">
        <v>41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 t="s">
        <v>40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25">
      <c r="A17" t="s">
        <v>30</v>
      </c>
      <c r="B17">
        <v>2013</v>
      </c>
      <c r="C17" t="s">
        <v>42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25">
      <c r="A18" t="s">
        <v>33</v>
      </c>
      <c r="B18">
        <v>2013</v>
      </c>
      <c r="C18" t="s">
        <v>42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 t="s">
        <v>43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25">
      <c r="A19" t="s">
        <v>35</v>
      </c>
      <c r="B19">
        <v>2013</v>
      </c>
      <c r="C19" t="s">
        <v>42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 t="s">
        <v>43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25">
      <c r="A20" t="s">
        <v>30</v>
      </c>
      <c r="B20">
        <v>2013</v>
      </c>
      <c r="C20" t="s">
        <v>44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25">
      <c r="A21" t="s">
        <v>33</v>
      </c>
      <c r="B21">
        <v>2013</v>
      </c>
      <c r="C21" t="s">
        <v>44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 t="s">
        <v>45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25">
      <c r="A22" t="s">
        <v>35</v>
      </c>
      <c r="B22">
        <v>2013</v>
      </c>
      <c r="C22" t="s">
        <v>44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 t="s">
        <v>45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25">
      <c r="A23" t="s">
        <v>30</v>
      </c>
      <c r="B23">
        <v>2013</v>
      </c>
      <c r="C23" t="s">
        <v>46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25">
      <c r="A24" t="s">
        <v>33</v>
      </c>
      <c r="B24">
        <v>2013</v>
      </c>
      <c r="C24" t="s">
        <v>46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 t="s">
        <v>47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25">
      <c r="A25" t="s">
        <v>35</v>
      </c>
      <c r="B25">
        <v>2013</v>
      </c>
      <c r="C25" t="s">
        <v>46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 t="s">
        <v>47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25">
      <c r="A26" t="s">
        <v>30</v>
      </c>
      <c r="B26">
        <v>2013</v>
      </c>
      <c r="C26" t="s">
        <v>48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25">
      <c r="A27" t="s">
        <v>33</v>
      </c>
      <c r="B27">
        <v>2013</v>
      </c>
      <c r="C27" t="s">
        <v>48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 t="s">
        <v>49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25">
      <c r="A28" t="s">
        <v>35</v>
      </c>
      <c r="B28">
        <v>2013</v>
      </c>
      <c r="C28" t="s">
        <v>48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 t="s">
        <v>49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25">
      <c r="A29" t="s">
        <v>30</v>
      </c>
      <c r="B29">
        <v>2013</v>
      </c>
      <c r="C29" t="s">
        <v>50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25">
      <c r="A30" t="s">
        <v>33</v>
      </c>
      <c r="B30">
        <v>2013</v>
      </c>
      <c r="C30" t="s">
        <v>50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 t="s">
        <v>51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25">
      <c r="A31" t="s">
        <v>35</v>
      </c>
      <c r="B31">
        <v>2013</v>
      </c>
      <c r="C31" t="s">
        <v>50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 t="s">
        <v>51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25">
      <c r="A32" t="s">
        <v>30</v>
      </c>
      <c r="B32">
        <v>2013</v>
      </c>
      <c r="C32" t="s">
        <v>52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25">
      <c r="A33" t="s">
        <v>33</v>
      </c>
      <c r="B33">
        <v>2013</v>
      </c>
      <c r="C33" t="s">
        <v>53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 t="s">
        <v>54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25">
      <c r="A34" t="s">
        <v>35</v>
      </c>
      <c r="B34">
        <v>2013</v>
      </c>
      <c r="C34" t="s">
        <v>53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 t="s">
        <v>54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25">
      <c r="A35" t="s">
        <v>30</v>
      </c>
      <c r="B35">
        <v>2013</v>
      </c>
      <c r="C35" t="s">
        <v>55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25">
      <c r="A36" t="s">
        <v>33</v>
      </c>
      <c r="B36">
        <v>2013</v>
      </c>
      <c r="C36" t="s">
        <v>55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 t="s">
        <v>56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25">
      <c r="A37" t="s">
        <v>35</v>
      </c>
      <c r="B37">
        <v>2013</v>
      </c>
      <c r="C37" t="s">
        <v>55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 t="s">
        <v>56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2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2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 t="s">
        <v>57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25">
      <c r="A40" t="s">
        <v>35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 t="s">
        <v>57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25">
      <c r="A41" t="s">
        <v>30</v>
      </c>
      <c r="B41">
        <v>2014</v>
      </c>
      <c r="C41" t="s">
        <v>36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25">
      <c r="A42" t="s">
        <v>33</v>
      </c>
      <c r="B42">
        <v>2014</v>
      </c>
      <c r="C42" t="s">
        <v>36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 t="s">
        <v>58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25">
      <c r="A43" t="s">
        <v>35</v>
      </c>
      <c r="B43">
        <v>2014</v>
      </c>
      <c r="C43" t="s">
        <v>36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 t="s">
        <v>58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25">
      <c r="A44" t="s">
        <v>30</v>
      </c>
      <c r="B44">
        <v>2014</v>
      </c>
      <c r="C44" t="s">
        <v>38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25">
      <c r="A45" t="s">
        <v>33</v>
      </c>
      <c r="B45">
        <v>2014</v>
      </c>
      <c r="C45" t="s">
        <v>38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 t="s">
        <v>59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25">
      <c r="A46" t="s">
        <v>35</v>
      </c>
      <c r="B46">
        <v>2014</v>
      </c>
      <c r="C46" t="s">
        <v>60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 t="s">
        <v>59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25">
      <c r="A47" t="s">
        <v>30</v>
      </c>
      <c r="B47">
        <v>2014</v>
      </c>
      <c r="C47" t="s">
        <v>39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25">
      <c r="A48" t="s">
        <v>33</v>
      </c>
      <c r="B48">
        <v>2014</v>
      </c>
      <c r="C48" t="s">
        <v>39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 t="s">
        <v>61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25">
      <c r="A49" t="s">
        <v>35</v>
      </c>
      <c r="B49">
        <v>2014</v>
      </c>
      <c r="C49" t="s">
        <v>39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 t="s">
        <v>61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25">
      <c r="A50" t="s">
        <v>30</v>
      </c>
      <c r="B50">
        <v>2014</v>
      </c>
      <c r="C50" t="s">
        <v>41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25">
      <c r="A51" t="s">
        <v>33</v>
      </c>
      <c r="B51">
        <v>2014</v>
      </c>
      <c r="C51" t="s">
        <v>41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 t="s">
        <v>62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25">
      <c r="A52" t="s">
        <v>35</v>
      </c>
      <c r="B52">
        <v>2014</v>
      </c>
      <c r="C52" t="s">
        <v>41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 t="s">
        <v>62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25">
      <c r="A53" t="s">
        <v>30</v>
      </c>
      <c r="B53">
        <v>2014</v>
      </c>
      <c r="C53" t="s">
        <v>42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25">
      <c r="A54" t="s">
        <v>33</v>
      </c>
      <c r="B54">
        <v>2014</v>
      </c>
      <c r="C54" t="s">
        <v>42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 t="s">
        <v>61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25">
      <c r="A55" t="s">
        <v>35</v>
      </c>
      <c r="B55">
        <v>2014</v>
      </c>
      <c r="C55" t="s">
        <v>42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 t="s">
        <v>61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25">
      <c r="A56" t="s">
        <v>30</v>
      </c>
      <c r="B56">
        <v>2014</v>
      </c>
      <c r="C56" t="s">
        <v>44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25">
      <c r="A57" t="s">
        <v>33</v>
      </c>
      <c r="B57">
        <v>2014</v>
      </c>
      <c r="C57" t="s">
        <v>44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 t="s">
        <v>63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25">
      <c r="A58" t="s">
        <v>35</v>
      </c>
      <c r="B58">
        <v>2014</v>
      </c>
      <c r="C58" t="s">
        <v>44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 t="s">
        <v>63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25">
      <c r="A59" t="s">
        <v>30</v>
      </c>
      <c r="B59">
        <v>2014</v>
      </c>
      <c r="C59" t="s">
        <v>46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25">
      <c r="A60" t="s">
        <v>33</v>
      </c>
      <c r="B60">
        <v>2014</v>
      </c>
      <c r="C60" t="s">
        <v>46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 t="s">
        <v>64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25">
      <c r="A61" t="s">
        <v>35</v>
      </c>
      <c r="B61">
        <v>2014</v>
      </c>
      <c r="C61" t="s">
        <v>46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 t="s">
        <v>64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25">
      <c r="A62" t="s">
        <v>30</v>
      </c>
      <c r="B62">
        <v>2014</v>
      </c>
      <c r="C62" t="s">
        <v>48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25">
      <c r="A63" t="s">
        <v>33</v>
      </c>
      <c r="B63">
        <v>2014</v>
      </c>
      <c r="C63" t="s">
        <v>48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 t="s">
        <v>65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25">
      <c r="A64" t="s">
        <v>35</v>
      </c>
      <c r="B64">
        <v>2014</v>
      </c>
      <c r="C64" t="s">
        <v>48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 t="s">
        <v>65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25">
      <c r="A65" t="s">
        <v>30</v>
      </c>
      <c r="B65">
        <v>2014</v>
      </c>
      <c r="C65" t="s">
        <v>50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25">
      <c r="A66" t="s">
        <v>33</v>
      </c>
      <c r="B66">
        <v>2014</v>
      </c>
      <c r="C66" t="s">
        <v>50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 t="s">
        <v>66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25">
      <c r="A67" t="s">
        <v>35</v>
      </c>
      <c r="B67">
        <v>2014</v>
      </c>
      <c r="C67" t="s">
        <v>50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 t="s">
        <v>66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25">
      <c r="A68" t="s">
        <v>30</v>
      </c>
      <c r="B68">
        <v>2014</v>
      </c>
      <c r="C68" t="s">
        <v>53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25">
      <c r="A69" t="s">
        <v>33</v>
      </c>
      <c r="B69">
        <v>2014</v>
      </c>
      <c r="C69" t="s">
        <v>53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 t="s">
        <v>67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25">
      <c r="A70" t="s">
        <v>35</v>
      </c>
      <c r="B70">
        <v>2014</v>
      </c>
      <c r="C70" t="s">
        <v>53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 t="s">
        <v>67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25">
      <c r="A71" t="s">
        <v>30</v>
      </c>
      <c r="B71">
        <v>2014</v>
      </c>
      <c r="C71" t="s">
        <v>55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25">
      <c r="A72" t="s">
        <v>33</v>
      </c>
      <c r="B72">
        <v>2014</v>
      </c>
      <c r="C72" t="s">
        <v>55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 t="s">
        <v>68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25">
      <c r="A73" t="s">
        <v>35</v>
      </c>
      <c r="B73">
        <v>2014</v>
      </c>
      <c r="C73" t="s">
        <v>55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 t="s">
        <v>68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2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2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 t="s">
        <v>69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25">
      <c r="A76" t="s">
        <v>35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 t="s">
        <v>69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25">
      <c r="A77" t="s">
        <v>30</v>
      </c>
      <c r="B77">
        <v>2015</v>
      </c>
      <c r="C77" t="s">
        <v>36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25">
      <c r="A78" t="s">
        <v>33</v>
      </c>
      <c r="B78">
        <v>2015</v>
      </c>
      <c r="C78" t="s">
        <v>36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 t="s">
        <v>70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25">
      <c r="A79" t="s">
        <v>35</v>
      </c>
      <c r="B79">
        <v>2015</v>
      </c>
      <c r="C79" t="s">
        <v>36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 t="s">
        <v>70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25">
      <c r="A80" t="s">
        <v>30</v>
      </c>
      <c r="B80">
        <v>2015</v>
      </c>
      <c r="C80" t="s">
        <v>38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25">
      <c r="A81" t="s">
        <v>33</v>
      </c>
      <c r="B81">
        <v>2015</v>
      </c>
      <c r="C81" t="s">
        <v>38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 t="s">
        <v>71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25">
      <c r="A82" t="s">
        <v>35</v>
      </c>
      <c r="B82">
        <v>2015</v>
      </c>
      <c r="C82" t="s">
        <v>38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 t="s">
        <v>71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25">
      <c r="A83" t="s">
        <v>30</v>
      </c>
      <c r="B83">
        <v>2015</v>
      </c>
      <c r="C83" t="s">
        <v>39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25">
      <c r="A84" t="s">
        <v>33</v>
      </c>
      <c r="B84">
        <v>2015</v>
      </c>
      <c r="C84" t="s">
        <v>39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 t="s">
        <v>72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25">
      <c r="A85" t="s">
        <v>35</v>
      </c>
      <c r="B85">
        <v>2015</v>
      </c>
      <c r="C85" t="s">
        <v>39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 t="s">
        <v>72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25">
      <c r="A86" t="s">
        <v>30</v>
      </c>
      <c r="B86">
        <v>2015</v>
      </c>
      <c r="C86" t="s">
        <v>41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25">
      <c r="A87" t="s">
        <v>33</v>
      </c>
      <c r="B87">
        <v>2015</v>
      </c>
      <c r="C87" t="s">
        <v>41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 t="s">
        <v>73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25">
      <c r="A88" t="s">
        <v>35</v>
      </c>
      <c r="B88">
        <v>2015</v>
      </c>
      <c r="C88" t="s">
        <v>41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 t="s">
        <v>73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25">
      <c r="A89" t="s">
        <v>30</v>
      </c>
      <c r="B89">
        <v>2015</v>
      </c>
      <c r="C89" t="s">
        <v>42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25">
      <c r="A90" t="s">
        <v>33</v>
      </c>
      <c r="B90">
        <v>2015</v>
      </c>
      <c r="C90" t="s">
        <v>42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 t="s">
        <v>74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25">
      <c r="A91" t="s">
        <v>35</v>
      </c>
      <c r="B91">
        <v>2015</v>
      </c>
      <c r="C91" t="s">
        <v>42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 t="s">
        <v>74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25">
      <c r="A92" t="s">
        <v>30</v>
      </c>
      <c r="B92">
        <v>2015</v>
      </c>
      <c r="C92" t="s">
        <v>44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25">
      <c r="A93" t="s">
        <v>33</v>
      </c>
      <c r="B93">
        <v>2015</v>
      </c>
      <c r="C93" t="s">
        <v>44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 t="s">
        <v>75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25">
      <c r="A94" t="s">
        <v>35</v>
      </c>
      <c r="B94">
        <v>2015</v>
      </c>
      <c r="C94" t="s">
        <v>44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 t="s">
        <v>75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25">
      <c r="A95" t="s">
        <v>30</v>
      </c>
      <c r="B95">
        <v>2015</v>
      </c>
      <c r="C95" t="s">
        <v>46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25">
      <c r="A96" t="s">
        <v>33</v>
      </c>
      <c r="B96">
        <v>2015</v>
      </c>
      <c r="C96" t="s">
        <v>46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 t="s">
        <v>76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25">
      <c r="A97" t="s">
        <v>35</v>
      </c>
      <c r="B97">
        <v>2015</v>
      </c>
      <c r="C97" t="s">
        <v>46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 t="s">
        <v>76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25">
      <c r="A98" t="s">
        <v>30</v>
      </c>
      <c r="B98">
        <v>2015</v>
      </c>
      <c r="C98" t="s">
        <v>48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25">
      <c r="A99" t="s">
        <v>33</v>
      </c>
      <c r="B99">
        <v>2015</v>
      </c>
      <c r="C99" t="s">
        <v>48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 t="s">
        <v>77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25">
      <c r="A100" t="s">
        <v>35</v>
      </c>
      <c r="B100">
        <v>2015</v>
      </c>
      <c r="C100" t="s">
        <v>48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 t="s">
        <v>77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25">
      <c r="A101" t="s">
        <v>30</v>
      </c>
      <c r="B101">
        <v>2015</v>
      </c>
      <c r="C101" t="s">
        <v>50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25">
      <c r="A102" t="s">
        <v>33</v>
      </c>
      <c r="B102">
        <v>2015</v>
      </c>
      <c r="C102" t="s">
        <v>50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 t="s">
        <v>78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25">
      <c r="A103" t="s">
        <v>35</v>
      </c>
      <c r="B103">
        <v>2015</v>
      </c>
      <c r="C103" t="s">
        <v>50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 t="s">
        <v>78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25">
      <c r="A104" t="s">
        <v>30</v>
      </c>
      <c r="B104">
        <v>2015</v>
      </c>
      <c r="C104" t="s">
        <v>53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25">
      <c r="A105" t="s">
        <v>33</v>
      </c>
      <c r="B105">
        <v>2015</v>
      </c>
      <c r="C105" t="s">
        <v>53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 t="s">
        <v>79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25">
      <c r="A106" t="s">
        <v>35</v>
      </c>
      <c r="B106">
        <v>2015</v>
      </c>
      <c r="C106" t="s">
        <v>53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 t="s">
        <v>79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25">
      <c r="A107" t="s">
        <v>30</v>
      </c>
      <c r="B107">
        <v>2015</v>
      </c>
      <c r="C107" t="s">
        <v>55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25">
      <c r="A108" t="s">
        <v>33</v>
      </c>
      <c r="B108">
        <v>2015</v>
      </c>
      <c r="C108" t="s">
        <v>55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 t="s">
        <v>78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25">
      <c r="A109" t="s">
        <v>35</v>
      </c>
      <c r="B109">
        <v>2015</v>
      </c>
      <c r="C109" t="s">
        <v>55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 t="s">
        <v>78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2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2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 t="s">
        <v>80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25">
      <c r="A112" t="s">
        <v>35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 t="s">
        <v>80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25">
      <c r="A113" t="s">
        <v>30</v>
      </c>
      <c r="B113">
        <v>2016</v>
      </c>
      <c r="C113" t="s">
        <v>36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25">
      <c r="A114" t="s">
        <v>33</v>
      </c>
      <c r="B114">
        <v>2016</v>
      </c>
      <c r="C114" t="s">
        <v>36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 t="s">
        <v>81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25">
      <c r="A115" t="s">
        <v>35</v>
      </c>
      <c r="B115">
        <v>2016</v>
      </c>
      <c r="C115" t="s">
        <v>36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 t="s">
        <v>81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25">
      <c r="A116" t="s">
        <v>30</v>
      </c>
      <c r="B116">
        <v>2016</v>
      </c>
      <c r="C116" t="s">
        <v>38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25">
      <c r="A117" t="s">
        <v>33</v>
      </c>
      <c r="B117">
        <v>2016</v>
      </c>
      <c r="C117" t="s">
        <v>38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 t="s">
        <v>82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25">
      <c r="A118" t="s">
        <v>35</v>
      </c>
      <c r="B118">
        <v>2016</v>
      </c>
      <c r="C118" t="s">
        <v>38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 t="s">
        <v>82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25">
      <c r="A119" t="s">
        <v>30</v>
      </c>
      <c r="B119">
        <v>2016</v>
      </c>
      <c r="C119" t="s">
        <v>39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25">
      <c r="A120" t="s">
        <v>33</v>
      </c>
      <c r="B120">
        <v>2016</v>
      </c>
      <c r="C120" t="s">
        <v>39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 t="s">
        <v>83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25">
      <c r="A121" t="s">
        <v>35</v>
      </c>
      <c r="B121">
        <v>2016</v>
      </c>
      <c r="C121" t="s">
        <v>39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 t="s">
        <v>83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25">
      <c r="A122" t="s">
        <v>30</v>
      </c>
      <c r="B122">
        <v>2016</v>
      </c>
      <c r="C122" t="s">
        <v>41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25">
      <c r="A123" t="s">
        <v>33</v>
      </c>
      <c r="B123">
        <v>2016</v>
      </c>
      <c r="C123" t="s">
        <v>41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 t="s">
        <v>84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25">
      <c r="A124" t="s">
        <v>35</v>
      </c>
      <c r="B124">
        <v>2016</v>
      </c>
      <c r="C124" t="s">
        <v>41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 t="s">
        <v>84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25">
      <c r="A125" t="s">
        <v>30</v>
      </c>
      <c r="B125">
        <v>2016</v>
      </c>
      <c r="C125" t="s">
        <v>42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25">
      <c r="A126" t="s">
        <v>33</v>
      </c>
      <c r="B126">
        <v>2016</v>
      </c>
      <c r="C126" t="s">
        <v>42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 t="s">
        <v>85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25">
      <c r="A127" t="s">
        <v>35</v>
      </c>
      <c r="B127">
        <v>2016</v>
      </c>
      <c r="C127" t="s">
        <v>42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 t="s">
        <v>85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25">
      <c r="A128" t="s">
        <v>30</v>
      </c>
      <c r="B128">
        <v>2016</v>
      </c>
      <c r="C128" t="s">
        <v>44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25">
      <c r="A129" t="s">
        <v>33</v>
      </c>
      <c r="B129">
        <v>2016</v>
      </c>
      <c r="C129" t="s">
        <v>44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 t="s">
        <v>86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25">
      <c r="A130" t="s">
        <v>35</v>
      </c>
      <c r="B130">
        <v>2016</v>
      </c>
      <c r="C130" t="s">
        <v>44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 t="s">
        <v>86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25">
      <c r="A131" t="s">
        <v>30</v>
      </c>
      <c r="B131">
        <v>2016</v>
      </c>
      <c r="C131" t="s">
        <v>46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25">
      <c r="A132" t="s">
        <v>33</v>
      </c>
      <c r="B132">
        <v>2016</v>
      </c>
      <c r="C132" t="s">
        <v>46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 t="s">
        <v>87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25">
      <c r="A133" t="s">
        <v>35</v>
      </c>
      <c r="B133">
        <v>2016</v>
      </c>
      <c r="C133" t="s">
        <v>46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 t="s">
        <v>87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25">
      <c r="A134" t="s">
        <v>30</v>
      </c>
      <c r="B134">
        <v>2016</v>
      </c>
      <c r="C134" t="s">
        <v>48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25">
      <c r="A135" t="s">
        <v>33</v>
      </c>
      <c r="B135">
        <v>2016</v>
      </c>
      <c r="C135" t="s">
        <v>48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 t="s">
        <v>88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25">
      <c r="A136" t="s">
        <v>35</v>
      </c>
      <c r="B136">
        <v>2016</v>
      </c>
      <c r="C136" t="s">
        <v>48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 t="s">
        <v>88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25">
      <c r="A137" t="s">
        <v>30</v>
      </c>
      <c r="B137">
        <v>2016</v>
      </c>
      <c r="C137" t="s">
        <v>50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25">
      <c r="A138" t="s">
        <v>33</v>
      </c>
      <c r="B138">
        <v>2016</v>
      </c>
      <c r="C138" t="s">
        <v>50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 t="s">
        <v>89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25">
      <c r="A139" t="s">
        <v>35</v>
      </c>
      <c r="B139">
        <v>2016</v>
      </c>
      <c r="C139" t="s">
        <v>50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 t="s">
        <v>89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25">
      <c r="A140" t="s">
        <v>30</v>
      </c>
      <c r="B140">
        <v>2016</v>
      </c>
      <c r="C140" t="s">
        <v>53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25">
      <c r="A141" t="s">
        <v>33</v>
      </c>
      <c r="B141">
        <v>2016</v>
      </c>
      <c r="C141" t="s">
        <v>53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 t="s">
        <v>90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25">
      <c r="A142" t="s">
        <v>35</v>
      </c>
      <c r="B142">
        <v>2016</v>
      </c>
      <c r="C142" t="s">
        <v>53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 t="s">
        <v>90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25">
      <c r="A143" t="s">
        <v>30</v>
      </c>
      <c r="B143">
        <v>2016</v>
      </c>
      <c r="C143" t="s">
        <v>55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25">
      <c r="A144" t="s">
        <v>33</v>
      </c>
      <c r="B144">
        <v>2016</v>
      </c>
      <c r="C144" t="s">
        <v>55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 t="s">
        <v>91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25">
      <c r="A145" t="s">
        <v>35</v>
      </c>
      <c r="B145">
        <v>2016</v>
      </c>
      <c r="C145" t="s">
        <v>55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 t="s">
        <v>91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2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2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 t="s">
        <v>92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25">
      <c r="A148" t="s">
        <v>35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 t="s">
        <v>92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25">
      <c r="A149" t="s">
        <v>30</v>
      </c>
      <c r="B149">
        <v>2017</v>
      </c>
      <c r="C149" t="s">
        <v>36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25">
      <c r="A150" t="s">
        <v>33</v>
      </c>
      <c r="B150">
        <v>2017</v>
      </c>
      <c r="C150" t="s">
        <v>36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 t="s">
        <v>93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25">
      <c r="A151" t="s">
        <v>35</v>
      </c>
      <c r="B151">
        <v>2017</v>
      </c>
      <c r="C151" t="s">
        <v>36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 t="s">
        <v>93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25">
      <c r="A152" t="s">
        <v>30</v>
      </c>
      <c r="B152">
        <v>2017</v>
      </c>
      <c r="C152" t="s">
        <v>38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25">
      <c r="A153" t="s">
        <v>33</v>
      </c>
      <c r="B153">
        <v>2017</v>
      </c>
      <c r="C153" t="s">
        <v>38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 t="s">
        <v>94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25">
      <c r="A154" t="s">
        <v>35</v>
      </c>
      <c r="B154">
        <v>2017</v>
      </c>
      <c r="C154" t="s">
        <v>38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 t="s">
        <v>94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25">
      <c r="A155" t="s">
        <v>30</v>
      </c>
      <c r="B155">
        <v>2017</v>
      </c>
      <c r="C155" t="s">
        <v>39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25">
      <c r="A156" t="s">
        <v>33</v>
      </c>
      <c r="B156">
        <v>2017</v>
      </c>
      <c r="C156" t="s">
        <v>39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 t="s">
        <v>95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25">
      <c r="A157" t="s">
        <v>35</v>
      </c>
      <c r="B157">
        <v>2017</v>
      </c>
      <c r="C157" t="s">
        <v>39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 t="s">
        <v>95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25">
      <c r="A158" t="s">
        <v>30</v>
      </c>
      <c r="B158">
        <v>2017</v>
      </c>
      <c r="C158" t="s">
        <v>41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25">
      <c r="A159" t="s">
        <v>33</v>
      </c>
      <c r="B159">
        <v>2017</v>
      </c>
      <c r="C159" t="s">
        <v>41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 t="s">
        <v>96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25">
      <c r="A160" t="s">
        <v>35</v>
      </c>
      <c r="B160">
        <v>2017</v>
      </c>
      <c r="C160" t="s">
        <v>41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 t="s">
        <v>96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25">
      <c r="A161" t="s">
        <v>30</v>
      </c>
      <c r="B161">
        <v>2017</v>
      </c>
      <c r="C161" t="s">
        <v>42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25">
      <c r="A162" t="s">
        <v>33</v>
      </c>
      <c r="B162">
        <v>2017</v>
      </c>
      <c r="C162" t="s">
        <v>42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 t="s">
        <v>97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25">
      <c r="A163" t="s">
        <v>35</v>
      </c>
      <c r="B163">
        <v>2017</v>
      </c>
      <c r="C163" t="s">
        <v>42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 t="s">
        <v>97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25">
      <c r="A164" t="s">
        <v>30</v>
      </c>
      <c r="B164">
        <v>2017</v>
      </c>
      <c r="C164" t="s">
        <v>44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25">
      <c r="A165" t="s">
        <v>33</v>
      </c>
      <c r="B165">
        <v>2017</v>
      </c>
      <c r="C165" t="s">
        <v>44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 t="s">
        <v>98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25">
      <c r="A166" t="s">
        <v>35</v>
      </c>
      <c r="B166">
        <v>2017</v>
      </c>
      <c r="C166" t="s">
        <v>44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 t="s">
        <v>98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25">
      <c r="A167" t="s">
        <v>30</v>
      </c>
      <c r="B167">
        <v>2017</v>
      </c>
      <c r="C167" t="s">
        <v>46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25">
      <c r="A168" t="s">
        <v>33</v>
      </c>
      <c r="B168">
        <v>2017</v>
      </c>
      <c r="C168" t="s">
        <v>46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 t="s">
        <v>99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25">
      <c r="A169" t="s">
        <v>35</v>
      </c>
      <c r="B169">
        <v>2017</v>
      </c>
      <c r="C169" t="s">
        <v>46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 t="s">
        <v>99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25">
      <c r="A170" t="s">
        <v>30</v>
      </c>
      <c r="B170">
        <v>2017</v>
      </c>
      <c r="C170" t="s">
        <v>48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25">
      <c r="A171" t="s">
        <v>33</v>
      </c>
      <c r="B171">
        <v>2017</v>
      </c>
      <c r="C171" t="s">
        <v>48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 t="s">
        <v>100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25">
      <c r="A172" t="s">
        <v>35</v>
      </c>
      <c r="B172">
        <v>2017</v>
      </c>
      <c r="C172" t="s">
        <v>48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 t="s">
        <v>100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25">
      <c r="A173" t="s">
        <v>30</v>
      </c>
      <c r="B173">
        <v>2017</v>
      </c>
      <c r="C173" t="s">
        <v>50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25">
      <c r="A174" t="s">
        <v>33</v>
      </c>
      <c r="B174">
        <v>2017</v>
      </c>
      <c r="C174" t="s">
        <v>50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 t="s">
        <v>101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25">
      <c r="A175" t="s">
        <v>35</v>
      </c>
      <c r="B175">
        <v>2017</v>
      </c>
      <c r="C175" t="s">
        <v>50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 t="s">
        <v>101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25">
      <c r="A176" t="s">
        <v>30</v>
      </c>
      <c r="B176">
        <v>2017</v>
      </c>
      <c r="C176" t="s">
        <v>53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25">
      <c r="A177" t="s">
        <v>33</v>
      </c>
      <c r="B177">
        <v>2017</v>
      </c>
      <c r="C177" t="s">
        <v>53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 t="s">
        <v>102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25">
      <c r="A178" t="s">
        <v>35</v>
      </c>
      <c r="B178">
        <v>2017</v>
      </c>
      <c r="C178" t="s">
        <v>53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 t="s">
        <v>102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25">
      <c r="A179" t="s">
        <v>30</v>
      </c>
      <c r="B179">
        <v>2017</v>
      </c>
      <c r="C179" t="s">
        <v>55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25">
      <c r="A180" t="s">
        <v>33</v>
      </c>
      <c r="B180">
        <v>2017</v>
      </c>
      <c r="C180" t="s">
        <v>55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 t="s">
        <v>103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25">
      <c r="A181" t="s">
        <v>35</v>
      </c>
      <c r="B181">
        <v>2017</v>
      </c>
      <c r="C181" t="s">
        <v>55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 t="s">
        <v>103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2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2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 t="s">
        <v>104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25">
      <c r="A184" t="s">
        <v>35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 t="s">
        <v>104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25">
      <c r="A185" t="s">
        <v>30</v>
      </c>
      <c r="B185">
        <v>2018</v>
      </c>
      <c r="C185" t="s">
        <v>36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25">
      <c r="A186" t="s">
        <v>33</v>
      </c>
      <c r="B186">
        <v>2018</v>
      </c>
      <c r="C186" t="s">
        <v>36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 t="s">
        <v>105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25">
      <c r="A187" t="s">
        <v>35</v>
      </c>
      <c r="B187">
        <v>2018</v>
      </c>
      <c r="C187" t="s">
        <v>36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 t="s">
        <v>105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25">
      <c r="A188" t="s">
        <v>30</v>
      </c>
      <c r="B188">
        <v>2018</v>
      </c>
      <c r="C188" t="s">
        <v>38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25">
      <c r="A189" t="s">
        <v>33</v>
      </c>
      <c r="B189">
        <v>2018</v>
      </c>
      <c r="C189" t="s">
        <v>38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 t="s">
        <v>106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25">
      <c r="A190" t="s">
        <v>35</v>
      </c>
      <c r="B190">
        <v>2018</v>
      </c>
      <c r="C190" t="s">
        <v>38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 t="s">
        <v>106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25">
      <c r="A191" t="s">
        <v>30</v>
      </c>
      <c r="B191">
        <v>2018</v>
      </c>
      <c r="C191" t="s">
        <v>39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25">
      <c r="A192" t="s">
        <v>33</v>
      </c>
      <c r="B192">
        <v>2018</v>
      </c>
      <c r="C192" t="s">
        <v>39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 t="s">
        <v>107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25">
      <c r="A193" t="s">
        <v>35</v>
      </c>
      <c r="B193">
        <v>2018</v>
      </c>
      <c r="C193" t="s">
        <v>39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 t="s">
        <v>107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25">
      <c r="A194" t="s">
        <v>30</v>
      </c>
      <c r="B194">
        <v>2018</v>
      </c>
      <c r="C194" t="s">
        <v>41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25">
      <c r="A195" t="s">
        <v>33</v>
      </c>
      <c r="B195">
        <v>2018</v>
      </c>
      <c r="C195" t="s">
        <v>41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 t="s">
        <v>108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25">
      <c r="A196" t="s">
        <v>35</v>
      </c>
      <c r="B196">
        <v>2018</v>
      </c>
      <c r="C196" t="s">
        <v>41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 t="s">
        <v>108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25">
      <c r="A197" t="s">
        <v>30</v>
      </c>
      <c r="B197">
        <v>2018</v>
      </c>
      <c r="C197" t="s">
        <v>42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25">
      <c r="A198" t="s">
        <v>33</v>
      </c>
      <c r="B198">
        <v>2018</v>
      </c>
      <c r="C198" t="s">
        <v>42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 t="s">
        <v>109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25">
      <c r="A199" t="s">
        <v>35</v>
      </c>
      <c r="B199">
        <v>2018</v>
      </c>
      <c r="C199" t="s">
        <v>42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 t="s">
        <v>109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25">
      <c r="A200" t="s">
        <v>30</v>
      </c>
      <c r="B200">
        <v>2018</v>
      </c>
      <c r="C200" t="s">
        <v>44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25">
      <c r="A201" t="s">
        <v>33</v>
      </c>
      <c r="B201">
        <v>2018</v>
      </c>
      <c r="C201" t="s">
        <v>44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 t="s">
        <v>110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25">
      <c r="A202" t="s">
        <v>35</v>
      </c>
      <c r="B202">
        <v>2018</v>
      </c>
      <c r="C202" t="s">
        <v>44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 t="s">
        <v>110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25">
      <c r="A203" t="s">
        <v>30</v>
      </c>
      <c r="B203">
        <v>2018</v>
      </c>
      <c r="C203" t="s">
        <v>46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25">
      <c r="A204" t="s">
        <v>33</v>
      </c>
      <c r="B204">
        <v>2018</v>
      </c>
      <c r="C204" t="s">
        <v>46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 t="s">
        <v>111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25">
      <c r="A205" t="s">
        <v>35</v>
      </c>
      <c r="B205">
        <v>2018</v>
      </c>
      <c r="C205" t="s">
        <v>46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 t="s">
        <v>111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25">
      <c r="A206" t="s">
        <v>30</v>
      </c>
      <c r="B206">
        <v>2018</v>
      </c>
      <c r="C206" t="s">
        <v>48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25">
      <c r="A207" t="s">
        <v>33</v>
      </c>
      <c r="B207">
        <v>2018</v>
      </c>
      <c r="C207" t="s">
        <v>48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 t="s">
        <v>112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25">
      <c r="A208" t="s">
        <v>35</v>
      </c>
      <c r="B208">
        <v>2018</v>
      </c>
      <c r="C208" t="s">
        <v>48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 t="s">
        <v>112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25">
      <c r="A209" t="s">
        <v>30</v>
      </c>
      <c r="B209">
        <v>2018</v>
      </c>
      <c r="C209" t="s">
        <v>50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25">
      <c r="A210" t="s">
        <v>33</v>
      </c>
      <c r="B210">
        <v>2018</v>
      </c>
      <c r="C210" t="s">
        <v>50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 t="s">
        <v>113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25">
      <c r="A211" t="s">
        <v>35</v>
      </c>
      <c r="B211">
        <v>2018</v>
      </c>
      <c r="C211" t="s">
        <v>50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 t="s">
        <v>114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25">
      <c r="A212" t="s">
        <v>30</v>
      </c>
      <c r="B212">
        <v>2018</v>
      </c>
      <c r="C212" t="s">
        <v>53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25">
      <c r="A213" t="s">
        <v>33</v>
      </c>
      <c r="B213">
        <v>2018</v>
      </c>
      <c r="C213" t="s">
        <v>53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 t="s">
        <v>114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25">
      <c r="A214" t="s">
        <v>35</v>
      </c>
      <c r="B214">
        <v>2018</v>
      </c>
      <c r="C214" t="s">
        <v>53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 t="s">
        <v>114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25">
      <c r="A215" t="s">
        <v>30</v>
      </c>
      <c r="B215">
        <v>2018</v>
      </c>
      <c r="C215" t="s">
        <v>55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25">
      <c r="A216" t="s">
        <v>33</v>
      </c>
      <c r="B216">
        <v>2018</v>
      </c>
      <c r="C216" t="s">
        <v>55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 t="s">
        <v>115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25">
      <c r="A217" t="s">
        <v>35</v>
      </c>
      <c r="B217">
        <v>2018</v>
      </c>
      <c r="C217" t="s">
        <v>55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 t="s">
        <v>115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2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2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 t="s">
        <v>116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25">
      <c r="A220" t="s">
        <v>35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 t="s">
        <v>116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25">
      <c r="A221" t="s">
        <v>30</v>
      </c>
      <c r="B221">
        <v>2019</v>
      </c>
      <c r="C221" t="s">
        <v>36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25">
      <c r="A222" t="s">
        <v>33</v>
      </c>
      <c r="B222">
        <v>2019</v>
      </c>
      <c r="C222" t="s">
        <v>36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 t="s">
        <v>117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25">
      <c r="A223" t="s">
        <v>35</v>
      </c>
      <c r="B223">
        <v>2019</v>
      </c>
      <c r="C223" t="s">
        <v>36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 t="s">
        <v>117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25">
      <c r="A224" t="s">
        <v>30</v>
      </c>
      <c r="B224">
        <v>2019</v>
      </c>
      <c r="C224" t="s">
        <v>38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25">
      <c r="A225" t="s">
        <v>33</v>
      </c>
      <c r="B225">
        <v>2019</v>
      </c>
      <c r="C225" t="s">
        <v>38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 t="s">
        <v>118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25">
      <c r="A226" t="s">
        <v>35</v>
      </c>
      <c r="B226">
        <v>2019</v>
      </c>
      <c r="C226" t="s">
        <v>38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 t="s">
        <v>118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25">
      <c r="A227" t="s">
        <v>30</v>
      </c>
      <c r="B227">
        <v>2019</v>
      </c>
      <c r="C227" t="s">
        <v>41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25">
      <c r="A228" t="s">
        <v>33</v>
      </c>
      <c r="B228">
        <v>2019</v>
      </c>
      <c r="C228" t="s">
        <v>41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 t="s">
        <v>119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25">
      <c r="A229" t="s">
        <v>35</v>
      </c>
      <c r="B229">
        <v>2019</v>
      </c>
      <c r="C229" t="s">
        <v>41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 t="s">
        <v>119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25">
      <c r="A230" t="s">
        <v>30</v>
      </c>
      <c r="B230">
        <v>2019</v>
      </c>
      <c r="C230" t="s">
        <v>42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25">
      <c r="A231" t="s">
        <v>33</v>
      </c>
      <c r="B231">
        <v>2019</v>
      </c>
      <c r="C231" t="s">
        <v>42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 t="s">
        <v>120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25">
      <c r="A232" t="s">
        <v>35</v>
      </c>
      <c r="B232">
        <v>2019</v>
      </c>
      <c r="C232" t="s">
        <v>42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 t="s">
        <v>120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25">
      <c r="A233" t="s">
        <v>30</v>
      </c>
      <c r="B233">
        <v>2019</v>
      </c>
      <c r="C233" t="s">
        <v>44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25">
      <c r="A234" t="s">
        <v>33</v>
      </c>
      <c r="B234">
        <v>2019</v>
      </c>
      <c r="C234" t="s">
        <v>44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 t="s">
        <v>121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25">
      <c r="A235" t="s">
        <v>35</v>
      </c>
      <c r="B235">
        <v>2019</v>
      </c>
      <c r="C235" t="s">
        <v>44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 t="s">
        <v>121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25">
      <c r="A236" t="s">
        <v>30</v>
      </c>
      <c r="B236">
        <v>2019</v>
      </c>
      <c r="C236" t="s">
        <v>46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25">
      <c r="A237" t="s">
        <v>33</v>
      </c>
      <c r="B237">
        <v>2019</v>
      </c>
      <c r="C237" t="s">
        <v>46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 t="s">
        <v>122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25">
      <c r="A238" t="s">
        <v>35</v>
      </c>
      <c r="B238">
        <v>2019</v>
      </c>
      <c r="C238" t="s">
        <v>46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 t="s">
        <v>122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25">
      <c r="A239" t="s">
        <v>30</v>
      </c>
      <c r="B239">
        <v>2019</v>
      </c>
      <c r="C239" t="s">
        <v>48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25">
      <c r="A240" t="s">
        <v>33</v>
      </c>
      <c r="B240">
        <v>2019</v>
      </c>
      <c r="C240" t="s">
        <v>48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 t="s">
        <v>123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25">
      <c r="A241" t="s">
        <v>35</v>
      </c>
      <c r="B241">
        <v>2019</v>
      </c>
      <c r="C241" t="s">
        <v>48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 t="s">
        <v>123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25">
      <c r="A242" t="s">
        <v>30</v>
      </c>
      <c r="B242">
        <v>2019</v>
      </c>
      <c r="C242" t="s">
        <v>50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25">
      <c r="A243" t="s">
        <v>33</v>
      </c>
      <c r="B243">
        <v>2019</v>
      </c>
      <c r="C243" t="s">
        <v>50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 t="s">
        <v>124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25">
      <c r="A244" t="s">
        <v>35</v>
      </c>
      <c r="B244">
        <v>2019</v>
      </c>
      <c r="C244" t="s">
        <v>50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 t="s">
        <v>124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25">
      <c r="A245" t="s">
        <v>30</v>
      </c>
      <c r="B245">
        <v>2019</v>
      </c>
      <c r="C245" t="s">
        <v>53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25">
      <c r="A246" t="s">
        <v>33</v>
      </c>
      <c r="B246">
        <v>2019</v>
      </c>
      <c r="C246" t="s">
        <v>53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 t="s">
        <v>125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25">
      <c r="A247" t="s">
        <v>35</v>
      </c>
      <c r="B247">
        <v>2019</v>
      </c>
      <c r="C247" t="s">
        <v>53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 t="s">
        <v>125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25">
      <c r="A248" t="s">
        <v>30</v>
      </c>
      <c r="B248">
        <v>2019</v>
      </c>
      <c r="C248" t="s">
        <v>55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25">
      <c r="A249" t="s">
        <v>33</v>
      </c>
      <c r="B249">
        <v>2019</v>
      </c>
      <c r="C249" t="s">
        <v>55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 t="s">
        <v>126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25">
      <c r="A250" t="s">
        <v>35</v>
      </c>
      <c r="B250">
        <v>2019</v>
      </c>
      <c r="C250" t="s">
        <v>55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 t="s">
        <v>126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2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25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 t="s">
        <v>127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25">
      <c r="A253" t="s">
        <v>35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 t="s">
        <v>127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25">
      <c r="A254" t="s">
        <v>30</v>
      </c>
      <c r="B254">
        <v>2020</v>
      </c>
      <c r="C254" t="s">
        <v>36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25">
      <c r="A255" t="s">
        <v>33</v>
      </c>
      <c r="B255">
        <v>2020</v>
      </c>
      <c r="C255" t="s">
        <v>36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 t="s">
        <v>128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25">
      <c r="A256" t="s">
        <v>35</v>
      </c>
      <c r="B256">
        <v>2020</v>
      </c>
      <c r="C256" t="s">
        <v>36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 t="s">
        <v>128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25">
      <c r="A257" t="s">
        <v>30</v>
      </c>
      <c r="B257">
        <v>2020</v>
      </c>
      <c r="C257" t="s">
        <v>38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25">
      <c r="A258" t="s">
        <v>33</v>
      </c>
      <c r="B258">
        <v>2020</v>
      </c>
      <c r="C258" t="s">
        <v>38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 t="s">
        <v>129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25">
      <c r="A259" t="s">
        <v>35</v>
      </c>
      <c r="B259">
        <v>2020</v>
      </c>
      <c r="C259" t="s">
        <v>38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 t="s">
        <v>129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25">
      <c r="A260" t="s">
        <v>30</v>
      </c>
      <c r="B260">
        <v>2020</v>
      </c>
      <c r="C260" t="s">
        <v>39</v>
      </c>
      <c r="D260">
        <v>147.19999999999999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P260">
        <v>150.1</v>
      </c>
      <c r="U260" t="s">
        <v>32</v>
      </c>
      <c r="V260">
        <v>148.4</v>
      </c>
      <c r="X260">
        <v>154.30000000000001</v>
      </c>
    </row>
    <row r="261" spans="1:30" x14ac:dyDescent="0.25">
      <c r="A261" t="s">
        <v>33</v>
      </c>
      <c r="B261">
        <v>2020</v>
      </c>
      <c r="C261" t="s">
        <v>39</v>
      </c>
      <c r="D261">
        <v>151.80000000000001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P261">
        <v>153.5</v>
      </c>
      <c r="U261" t="s">
        <v>130</v>
      </c>
      <c r="V261">
        <v>137.1</v>
      </c>
      <c r="X261">
        <v>144.80000000000001</v>
      </c>
    </row>
    <row r="262" spans="1:30" x14ac:dyDescent="0.25">
      <c r="A262" t="s">
        <v>35</v>
      </c>
      <c r="B262">
        <v>2020</v>
      </c>
      <c r="C262" t="s">
        <v>39</v>
      </c>
      <c r="D262">
        <v>148.69999999999999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P262">
        <v>151.4</v>
      </c>
      <c r="U262" t="s">
        <v>130</v>
      </c>
      <c r="V262">
        <v>144.1</v>
      </c>
      <c r="X262">
        <v>150.69999999999999</v>
      </c>
    </row>
    <row r="263" spans="1:30" x14ac:dyDescent="0.25">
      <c r="A263" t="s">
        <v>30</v>
      </c>
      <c r="B263">
        <v>2020</v>
      </c>
      <c r="C263" t="s">
        <v>41</v>
      </c>
      <c r="U263" t="s">
        <v>32</v>
      </c>
    </row>
    <row r="264" spans="1:30" x14ac:dyDescent="0.25">
      <c r="A264" t="s">
        <v>33</v>
      </c>
      <c r="B264">
        <v>2020</v>
      </c>
      <c r="C264" t="s">
        <v>41</v>
      </c>
      <c r="U264" t="s">
        <v>32</v>
      </c>
    </row>
    <row r="265" spans="1:30" x14ac:dyDescent="0.25">
      <c r="A265" t="s">
        <v>35</v>
      </c>
      <c r="B265">
        <v>2020</v>
      </c>
      <c r="C265" t="s">
        <v>41</v>
      </c>
      <c r="U265" t="s">
        <v>32</v>
      </c>
    </row>
    <row r="266" spans="1:30" x14ac:dyDescent="0.25">
      <c r="A266" t="s">
        <v>30</v>
      </c>
      <c r="B266">
        <v>2020</v>
      </c>
      <c r="C266" t="s">
        <v>42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25">
      <c r="A267" t="s">
        <v>33</v>
      </c>
      <c r="B267">
        <v>2020</v>
      </c>
      <c r="C267" t="s">
        <v>42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 t="s">
        <v>131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25">
      <c r="A268" t="s">
        <v>35</v>
      </c>
      <c r="B268">
        <v>2020</v>
      </c>
      <c r="C268" t="s">
        <v>42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 t="s">
        <v>131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25">
      <c r="A269" t="s">
        <v>30</v>
      </c>
      <c r="B269">
        <v>2020</v>
      </c>
      <c r="C269" t="s">
        <v>44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25">
      <c r="A270" t="s">
        <v>33</v>
      </c>
      <c r="B270">
        <v>2020</v>
      </c>
      <c r="C270" t="s">
        <v>44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 t="s">
        <v>131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25">
      <c r="A271" t="s">
        <v>35</v>
      </c>
      <c r="B271">
        <v>2020</v>
      </c>
      <c r="C271" t="s">
        <v>44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 t="s">
        <v>131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25">
      <c r="A272" t="s">
        <v>30</v>
      </c>
      <c r="B272">
        <v>2020</v>
      </c>
      <c r="C272" t="s">
        <v>46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25">
      <c r="A273" t="s">
        <v>33</v>
      </c>
      <c r="B273">
        <v>2020</v>
      </c>
      <c r="C273" t="s">
        <v>46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 t="s">
        <v>132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25">
      <c r="A274" t="s">
        <v>35</v>
      </c>
      <c r="B274">
        <v>2020</v>
      </c>
      <c r="C274" t="s">
        <v>46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 t="s">
        <v>132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25">
      <c r="A275" t="s">
        <v>30</v>
      </c>
      <c r="B275">
        <v>2020</v>
      </c>
      <c r="C275" t="s">
        <v>48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25">
      <c r="A276" t="s">
        <v>33</v>
      </c>
      <c r="B276">
        <v>2020</v>
      </c>
      <c r="C276" t="s">
        <v>48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 t="s">
        <v>133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25">
      <c r="A277" t="s">
        <v>35</v>
      </c>
      <c r="B277">
        <v>2020</v>
      </c>
      <c r="C277" t="s">
        <v>48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 t="s">
        <v>133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25">
      <c r="A278" t="s">
        <v>30</v>
      </c>
      <c r="B278">
        <v>2020</v>
      </c>
      <c r="C278" t="s">
        <v>50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25">
      <c r="A279" t="s">
        <v>33</v>
      </c>
      <c r="B279">
        <v>2020</v>
      </c>
      <c r="C279" t="s">
        <v>50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 t="s">
        <v>134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25">
      <c r="A280" t="s">
        <v>35</v>
      </c>
      <c r="B280">
        <v>2020</v>
      </c>
      <c r="C280" t="s">
        <v>50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 t="s">
        <v>134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25">
      <c r="A281" t="s">
        <v>30</v>
      </c>
      <c r="B281">
        <v>2020</v>
      </c>
      <c r="C281" t="s">
        <v>53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25">
      <c r="A282" t="s">
        <v>33</v>
      </c>
      <c r="B282">
        <v>2020</v>
      </c>
      <c r="C282" t="s">
        <v>53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 t="s">
        <v>135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25">
      <c r="A283" t="s">
        <v>35</v>
      </c>
      <c r="B283">
        <v>2020</v>
      </c>
      <c r="C283" t="s">
        <v>53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 t="s">
        <v>135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25">
      <c r="A284" t="s">
        <v>30</v>
      </c>
      <c r="B284">
        <v>2020</v>
      </c>
      <c r="C284" t="s">
        <v>55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25">
      <c r="A285" t="s">
        <v>33</v>
      </c>
      <c r="B285">
        <v>2020</v>
      </c>
      <c r="C285" t="s">
        <v>55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 t="s">
        <v>136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25">
      <c r="A286" t="s">
        <v>35</v>
      </c>
      <c r="B286">
        <v>2020</v>
      </c>
      <c r="C286" t="s">
        <v>55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 t="s">
        <v>136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25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25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 t="s">
        <v>137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25">
      <c r="A289" t="s">
        <v>35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 t="s">
        <v>137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25">
      <c r="A290" t="s">
        <v>30</v>
      </c>
      <c r="B290">
        <v>2021</v>
      </c>
      <c r="C290" t="s">
        <v>36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25">
      <c r="A291" t="s">
        <v>33</v>
      </c>
      <c r="B291">
        <v>2021</v>
      </c>
      <c r="C291" t="s">
        <v>36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 t="s">
        <v>138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25">
      <c r="A292" t="s">
        <v>35</v>
      </c>
      <c r="B292">
        <v>2021</v>
      </c>
      <c r="C292" t="s">
        <v>36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 t="s">
        <v>138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25">
      <c r="A293" t="s">
        <v>30</v>
      </c>
      <c r="B293">
        <v>2021</v>
      </c>
      <c r="C293" t="s">
        <v>38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139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25">
      <c r="A294" t="s">
        <v>33</v>
      </c>
      <c r="B294">
        <v>2021</v>
      </c>
      <c r="C294" t="s">
        <v>38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 t="s">
        <v>140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25">
      <c r="A295" t="s">
        <v>35</v>
      </c>
      <c r="B295">
        <v>2021</v>
      </c>
      <c r="C295" t="s">
        <v>38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 t="s">
        <v>140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25">
      <c r="A296" t="s">
        <v>30</v>
      </c>
      <c r="B296">
        <v>2021</v>
      </c>
      <c r="C296" t="s">
        <v>39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139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25">
      <c r="A297" t="s">
        <v>33</v>
      </c>
      <c r="B297">
        <v>2021</v>
      </c>
      <c r="C297" t="s">
        <v>39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 t="s">
        <v>141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25">
      <c r="A298" t="s">
        <v>35</v>
      </c>
      <c r="B298">
        <v>2021</v>
      </c>
      <c r="C298" t="s">
        <v>39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 t="s">
        <v>141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25">
      <c r="A299" t="s">
        <v>30</v>
      </c>
      <c r="B299">
        <v>2021</v>
      </c>
      <c r="C299" t="s">
        <v>41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25">
      <c r="A300" t="s">
        <v>33</v>
      </c>
      <c r="B300">
        <v>2021</v>
      </c>
      <c r="C300" t="s">
        <v>41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 t="s">
        <v>142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25">
      <c r="A301" t="s">
        <v>35</v>
      </c>
      <c r="B301">
        <v>2021</v>
      </c>
      <c r="C301" t="s">
        <v>41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 t="s">
        <v>142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25">
      <c r="A302" t="s">
        <v>30</v>
      </c>
      <c r="B302">
        <v>2021</v>
      </c>
      <c r="C302" t="s">
        <v>42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25">
      <c r="A303" t="s">
        <v>33</v>
      </c>
      <c r="B303">
        <v>2021</v>
      </c>
      <c r="C303" t="s">
        <v>42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 t="s">
        <v>143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25">
      <c r="A304" t="s">
        <v>35</v>
      </c>
      <c r="B304">
        <v>2021</v>
      </c>
      <c r="C304" t="s">
        <v>42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 t="s">
        <v>143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25">
      <c r="A305" t="s">
        <v>30</v>
      </c>
      <c r="B305">
        <v>2021</v>
      </c>
      <c r="C305" t="s">
        <v>44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25">
      <c r="A306" t="s">
        <v>33</v>
      </c>
      <c r="B306">
        <v>2021</v>
      </c>
      <c r="C306" t="s">
        <v>44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 t="s">
        <v>144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25">
      <c r="A307" t="s">
        <v>35</v>
      </c>
      <c r="B307">
        <v>2021</v>
      </c>
      <c r="C307" t="s">
        <v>44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 t="s">
        <v>144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25">
      <c r="A308" t="s">
        <v>30</v>
      </c>
      <c r="B308">
        <v>2021</v>
      </c>
      <c r="C308" t="s">
        <v>46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25">
      <c r="A309" t="s">
        <v>33</v>
      </c>
      <c r="B309">
        <v>2021</v>
      </c>
      <c r="C309" t="s">
        <v>46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 t="s">
        <v>145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25">
      <c r="A310" t="s">
        <v>35</v>
      </c>
      <c r="B310">
        <v>2021</v>
      </c>
      <c r="C310" t="s">
        <v>46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 t="s">
        <v>145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25">
      <c r="A311" t="s">
        <v>30</v>
      </c>
      <c r="B311">
        <v>2021</v>
      </c>
      <c r="C311" t="s">
        <v>48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25">
      <c r="A312" t="s">
        <v>33</v>
      </c>
      <c r="B312">
        <v>2021</v>
      </c>
      <c r="C312" t="s">
        <v>48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 t="s">
        <v>145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25">
      <c r="A313" t="s">
        <v>35</v>
      </c>
      <c r="B313">
        <v>2021</v>
      </c>
      <c r="C313" t="s">
        <v>48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 t="s">
        <v>145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25">
      <c r="A314" t="s">
        <v>30</v>
      </c>
      <c r="B314">
        <v>2021</v>
      </c>
      <c r="C314" t="s">
        <v>50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25">
      <c r="A315" t="s">
        <v>33</v>
      </c>
      <c r="B315">
        <v>2021</v>
      </c>
      <c r="C315" t="s">
        <v>50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 t="s">
        <v>146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25">
      <c r="A316" t="s">
        <v>35</v>
      </c>
      <c r="B316">
        <v>2021</v>
      </c>
      <c r="C316" t="s">
        <v>50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 t="s">
        <v>146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25">
      <c r="A317" t="s">
        <v>30</v>
      </c>
      <c r="B317">
        <v>2021</v>
      </c>
      <c r="C317" t="s">
        <v>53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25">
      <c r="A318" t="s">
        <v>33</v>
      </c>
      <c r="B318">
        <v>2021</v>
      </c>
      <c r="C318" t="s">
        <v>53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 t="s">
        <v>147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25">
      <c r="A319" t="s">
        <v>35</v>
      </c>
      <c r="B319">
        <v>2021</v>
      </c>
      <c r="C319" t="s">
        <v>53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 t="s">
        <v>147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25">
      <c r="A320" t="s">
        <v>30</v>
      </c>
      <c r="B320">
        <v>2021</v>
      </c>
      <c r="C320" t="s">
        <v>55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25">
      <c r="A321" t="s">
        <v>33</v>
      </c>
      <c r="B321">
        <v>2021</v>
      </c>
      <c r="C321" t="s">
        <v>55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 t="s">
        <v>148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25">
      <c r="A322" t="s">
        <v>35</v>
      </c>
      <c r="B322">
        <v>2021</v>
      </c>
      <c r="C322" t="s">
        <v>55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 t="s">
        <v>148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25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25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 t="s">
        <v>149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25">
      <c r="A325" t="s">
        <v>35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 t="s">
        <v>149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25">
      <c r="A326" t="s">
        <v>30</v>
      </c>
      <c r="B326">
        <v>2022</v>
      </c>
      <c r="C326" t="s">
        <v>36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25">
      <c r="A327" t="s">
        <v>33</v>
      </c>
      <c r="B327">
        <v>2022</v>
      </c>
      <c r="C327" t="s">
        <v>36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 t="s">
        <v>150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25">
      <c r="A328" t="s">
        <v>35</v>
      </c>
      <c r="B328">
        <v>2022</v>
      </c>
      <c r="C328" t="s">
        <v>36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 t="s">
        <v>150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25">
      <c r="A329" t="s">
        <v>30</v>
      </c>
      <c r="B329">
        <v>2022</v>
      </c>
      <c r="C329" t="s">
        <v>38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25">
      <c r="A330" t="s">
        <v>33</v>
      </c>
      <c r="B330">
        <v>2022</v>
      </c>
      <c r="C330" t="s">
        <v>38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 t="s">
        <v>151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25">
      <c r="A331" t="s">
        <v>35</v>
      </c>
      <c r="B331">
        <v>2022</v>
      </c>
      <c r="C331" t="s">
        <v>38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 t="s">
        <v>151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25">
      <c r="A332" t="s">
        <v>30</v>
      </c>
      <c r="B332">
        <v>2022</v>
      </c>
      <c r="C332" t="s">
        <v>39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25">
      <c r="A333" t="s">
        <v>33</v>
      </c>
      <c r="B333">
        <v>2022</v>
      </c>
      <c r="C333" t="s">
        <v>39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 t="s">
        <v>152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25">
      <c r="A334" t="s">
        <v>35</v>
      </c>
      <c r="B334">
        <v>2022</v>
      </c>
      <c r="C334" t="s">
        <v>39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 t="s">
        <v>152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25">
      <c r="A335" t="s">
        <v>30</v>
      </c>
      <c r="B335">
        <v>2022</v>
      </c>
      <c r="C335" t="s">
        <v>41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25">
      <c r="A336" t="s">
        <v>33</v>
      </c>
      <c r="B336">
        <v>2022</v>
      </c>
      <c r="C336" t="s">
        <v>41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 t="s">
        <v>153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25">
      <c r="A337" t="s">
        <v>35</v>
      </c>
      <c r="B337">
        <v>2022</v>
      </c>
      <c r="C337" t="s">
        <v>41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 t="s">
        <v>153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25">
      <c r="A338" t="s">
        <v>30</v>
      </c>
      <c r="B338">
        <v>2022</v>
      </c>
      <c r="C338" t="s">
        <v>42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25">
      <c r="A339" t="s">
        <v>33</v>
      </c>
      <c r="B339">
        <v>2022</v>
      </c>
      <c r="C339" t="s">
        <v>42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 t="s">
        <v>154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25">
      <c r="A340" t="s">
        <v>35</v>
      </c>
      <c r="B340">
        <v>2022</v>
      </c>
      <c r="C340" t="s">
        <v>42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 t="s">
        <v>154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25">
      <c r="A341" t="s">
        <v>30</v>
      </c>
      <c r="B341">
        <v>2022</v>
      </c>
      <c r="C341" t="s">
        <v>44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25">
      <c r="A342" t="s">
        <v>33</v>
      </c>
      <c r="B342">
        <v>2022</v>
      </c>
      <c r="C342" t="s">
        <v>44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 t="s">
        <v>155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25">
      <c r="A343" t="s">
        <v>35</v>
      </c>
      <c r="B343">
        <v>2022</v>
      </c>
      <c r="C343" t="s">
        <v>44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 t="s">
        <v>155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25">
      <c r="A344" t="s">
        <v>30</v>
      </c>
      <c r="B344">
        <v>2022</v>
      </c>
      <c r="C344" t="s">
        <v>46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25">
      <c r="A345" t="s">
        <v>33</v>
      </c>
      <c r="B345">
        <v>2022</v>
      </c>
      <c r="C345" t="s">
        <v>46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 t="s">
        <v>156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25">
      <c r="A346" t="s">
        <v>35</v>
      </c>
      <c r="B346">
        <v>2022</v>
      </c>
      <c r="C346" t="s">
        <v>46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 t="s">
        <v>156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25">
      <c r="A347" t="s">
        <v>30</v>
      </c>
      <c r="B347">
        <v>2022</v>
      </c>
      <c r="C347" t="s">
        <v>48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25">
      <c r="A348" t="s">
        <v>33</v>
      </c>
      <c r="B348">
        <v>2022</v>
      </c>
      <c r="C348" t="s">
        <v>48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 t="s">
        <v>157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25">
      <c r="A349" t="s">
        <v>35</v>
      </c>
      <c r="B349">
        <v>2022</v>
      </c>
      <c r="C349" t="s">
        <v>48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 t="s">
        <v>157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25">
      <c r="A350" t="s">
        <v>30</v>
      </c>
      <c r="B350">
        <v>2022</v>
      </c>
      <c r="C350" t="s">
        <v>50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25">
      <c r="A351" t="s">
        <v>33</v>
      </c>
      <c r="B351">
        <v>2022</v>
      </c>
      <c r="C351" t="s">
        <v>50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 t="s">
        <v>158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25">
      <c r="A352" t="s">
        <v>35</v>
      </c>
      <c r="B352">
        <v>2022</v>
      </c>
      <c r="C352" t="s">
        <v>50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 t="s">
        <v>158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25">
      <c r="A353" t="s">
        <v>30</v>
      </c>
      <c r="B353">
        <v>2022</v>
      </c>
      <c r="C353" t="s">
        <v>53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25">
      <c r="A354" t="s">
        <v>33</v>
      </c>
      <c r="B354">
        <v>2022</v>
      </c>
      <c r="C354" t="s">
        <v>53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 t="s">
        <v>159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25">
      <c r="A355" t="s">
        <v>35</v>
      </c>
      <c r="B355">
        <v>2022</v>
      </c>
      <c r="C355" t="s">
        <v>53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 t="s">
        <v>159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25">
      <c r="A356" t="s">
        <v>30</v>
      </c>
      <c r="B356">
        <v>2022</v>
      </c>
      <c r="C356" t="s">
        <v>55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25">
      <c r="A357" t="s">
        <v>33</v>
      </c>
      <c r="B357">
        <v>2022</v>
      </c>
      <c r="C357" t="s">
        <v>55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 t="s">
        <v>160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25">
      <c r="A358" t="s">
        <v>35</v>
      </c>
      <c r="B358">
        <v>2022</v>
      </c>
      <c r="C358" t="s">
        <v>55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 t="s">
        <v>160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25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25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 t="s">
        <v>161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25">
      <c r="A361" t="s">
        <v>35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 t="s">
        <v>161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25">
      <c r="A362" t="s">
        <v>30</v>
      </c>
      <c r="B362">
        <v>2023</v>
      </c>
      <c r="C362" t="s">
        <v>36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25">
      <c r="A363" t="s">
        <v>33</v>
      </c>
      <c r="B363">
        <v>2023</v>
      </c>
      <c r="C363" t="s">
        <v>36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 t="s">
        <v>162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25">
      <c r="A364" t="s">
        <v>35</v>
      </c>
      <c r="B364">
        <v>2023</v>
      </c>
      <c r="C364" t="s">
        <v>36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 t="s">
        <v>162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25">
      <c r="A365" t="s">
        <v>30</v>
      </c>
      <c r="B365">
        <v>2023</v>
      </c>
      <c r="C365" t="s">
        <v>38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25">
      <c r="A366" t="s">
        <v>33</v>
      </c>
      <c r="B366">
        <v>2023</v>
      </c>
      <c r="C366" t="s">
        <v>38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 t="s">
        <v>162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25">
      <c r="A367" t="s">
        <v>35</v>
      </c>
      <c r="B367">
        <v>2023</v>
      </c>
      <c r="C367" t="s">
        <v>38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 t="s">
        <v>162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25">
      <c r="A368" t="s">
        <v>30</v>
      </c>
      <c r="B368">
        <v>2023</v>
      </c>
      <c r="C368" t="s">
        <v>39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139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25">
      <c r="A369" t="s">
        <v>33</v>
      </c>
      <c r="B369">
        <v>2023</v>
      </c>
      <c r="C369" t="s">
        <v>39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 t="s">
        <v>163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25">
      <c r="A370" t="s">
        <v>35</v>
      </c>
      <c r="B370">
        <v>2023</v>
      </c>
      <c r="C370" t="s">
        <v>39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 t="s">
        <v>163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25">
      <c r="A371" t="s">
        <v>30</v>
      </c>
      <c r="B371">
        <v>2023</v>
      </c>
      <c r="C371" t="s">
        <v>41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139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25">
      <c r="A372" t="s">
        <v>33</v>
      </c>
      <c r="B372">
        <v>2023</v>
      </c>
      <c r="C372" t="s">
        <v>41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 t="s">
        <v>164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25">
      <c r="A373" t="s">
        <v>35</v>
      </c>
      <c r="B373">
        <v>2023</v>
      </c>
      <c r="C373" t="s">
        <v>41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 t="s">
        <v>164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A8D29-3C01-4926-8871-DE6D42EA83A9}">
  <dimension ref="A1:AD367"/>
  <sheetViews>
    <sheetView zoomScaleNormal="100" workbookViewId="0">
      <pane ySplit="1" topLeftCell="A2" activePane="bottomLeft" state="frozen"/>
      <selection activeCell="N1048576" sqref="N1048576"/>
      <selection pane="bottomLeft" activeCell="A283" sqref="A283:J283"/>
    </sheetView>
  </sheetViews>
  <sheetFormatPr defaultRowHeight="15" x14ac:dyDescent="0.25"/>
  <cols>
    <col min="1" max="1" width="12.140625" bestFit="1" customWidth="1"/>
    <col min="2" max="2" width="7.140625" bestFit="1" customWidth="1"/>
    <col min="3" max="3" width="10.42578125" bestFit="1" customWidth="1"/>
    <col min="4" max="4" width="22.28515625" bestFit="1" customWidth="1"/>
    <col min="5" max="5" width="15.140625" bestFit="1" customWidth="1"/>
    <col min="6" max="6" width="6.28515625" bestFit="1" customWidth="1"/>
    <col min="7" max="7" width="19.28515625" bestFit="1" customWidth="1"/>
    <col min="8" max="8" width="14.42578125" bestFit="1" customWidth="1"/>
    <col min="9" max="9" width="8.28515625" bestFit="1" customWidth="1"/>
    <col min="10" max="10" width="12.85546875" bestFit="1" customWidth="1"/>
    <col min="11" max="11" width="21.5703125" bestFit="1" customWidth="1"/>
    <col min="12" max="12" width="25" bestFit="1" customWidth="1"/>
    <col min="13" max="13" width="14.28515625" customWidth="1"/>
    <col min="14" max="14" width="25.7109375" bestFit="1" customWidth="1"/>
    <col min="15" max="15" width="35.7109375" bestFit="1" customWidth="1"/>
    <col min="16" max="16" width="21.140625" bestFit="1" customWidth="1"/>
    <col min="17" max="17" width="29.42578125" bestFit="1" customWidth="1"/>
    <col min="18" max="18" width="10.5703125" bestFit="1" customWidth="1"/>
    <col min="19" max="19" width="11.42578125" bestFit="1" customWidth="1"/>
    <col min="20" max="20" width="22.85546875" bestFit="1" customWidth="1"/>
    <col min="21" max="21" width="15" customWidth="1"/>
    <col min="22" max="22" width="15.140625" bestFit="1" customWidth="1"/>
    <col min="23" max="23" width="30.7109375" bestFit="1" customWidth="1"/>
    <col min="24" max="24" width="14.42578125" customWidth="1"/>
    <col min="25" max="25" width="30.7109375" bestFit="1" customWidth="1"/>
    <col min="26" max="26" width="28" bestFit="1" customWidth="1"/>
    <col min="27" max="27" width="12.140625" bestFit="1" customWidth="1"/>
    <col min="28" max="28" width="25.85546875" bestFit="1" customWidth="1"/>
    <col min="29" max="29" width="16.28515625" bestFit="1" customWidth="1"/>
    <col min="30" max="30" width="15.425781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idden="1" x14ac:dyDescent="0.2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hidden="1" x14ac:dyDescent="0.2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 t="s">
        <v>34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hidden="1" x14ac:dyDescent="0.25">
      <c r="A4" t="s">
        <v>35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 t="s">
        <v>34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hidden="1" x14ac:dyDescent="0.25">
      <c r="A5" t="s">
        <v>30</v>
      </c>
      <c r="B5">
        <v>2013</v>
      </c>
      <c r="C5" t="s">
        <v>36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hidden="1" x14ac:dyDescent="0.25">
      <c r="A6" t="s">
        <v>33</v>
      </c>
      <c r="B6">
        <v>2013</v>
      </c>
      <c r="C6" t="s">
        <v>36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 t="s">
        <v>37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hidden="1" x14ac:dyDescent="0.25">
      <c r="A7" t="s">
        <v>35</v>
      </c>
      <c r="B7">
        <v>2013</v>
      </c>
      <c r="C7" t="s">
        <v>36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 t="s">
        <v>37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hidden="1" x14ac:dyDescent="0.25">
      <c r="A8" t="s">
        <v>30</v>
      </c>
      <c r="B8">
        <v>2013</v>
      </c>
      <c r="C8" t="s">
        <v>38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hidden="1" x14ac:dyDescent="0.25">
      <c r="A9" t="s">
        <v>33</v>
      </c>
      <c r="B9">
        <v>2013</v>
      </c>
      <c r="C9" t="s">
        <v>38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 t="s">
        <v>37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hidden="1" x14ac:dyDescent="0.25">
      <c r="A10" t="s">
        <v>35</v>
      </c>
      <c r="B10">
        <v>2013</v>
      </c>
      <c r="C10" t="s">
        <v>38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 t="s">
        <v>37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hidden="1" x14ac:dyDescent="0.25">
      <c r="A11" t="s">
        <v>30</v>
      </c>
      <c r="B11">
        <v>2013</v>
      </c>
      <c r="C11" t="s">
        <v>39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hidden="1" x14ac:dyDescent="0.25">
      <c r="A12" t="s">
        <v>33</v>
      </c>
      <c r="B12">
        <v>2013</v>
      </c>
      <c r="C12" t="s">
        <v>39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 t="s">
        <v>40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hidden="1" x14ac:dyDescent="0.25">
      <c r="A13" t="s">
        <v>35</v>
      </c>
      <c r="B13">
        <v>2013</v>
      </c>
      <c r="C13" t="s">
        <v>39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 t="s">
        <v>40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hidden="1" x14ac:dyDescent="0.25">
      <c r="A14" t="s">
        <v>30</v>
      </c>
      <c r="B14">
        <v>2013</v>
      </c>
      <c r="C14" t="s">
        <v>41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hidden="1" x14ac:dyDescent="0.25">
      <c r="A15" t="s">
        <v>33</v>
      </c>
      <c r="B15">
        <v>2013</v>
      </c>
      <c r="C15" t="s">
        <v>41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 t="s">
        <v>40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hidden="1" x14ac:dyDescent="0.25">
      <c r="A16" t="s">
        <v>35</v>
      </c>
      <c r="B16">
        <v>2013</v>
      </c>
      <c r="C16" t="s">
        <v>41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 t="s">
        <v>40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hidden="1" x14ac:dyDescent="0.25">
      <c r="A17" t="s">
        <v>30</v>
      </c>
      <c r="B17">
        <v>2013</v>
      </c>
      <c r="C17" t="s">
        <v>42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hidden="1" x14ac:dyDescent="0.25">
      <c r="A18" t="s">
        <v>33</v>
      </c>
      <c r="B18">
        <v>2013</v>
      </c>
      <c r="C18" t="s">
        <v>42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 t="s">
        <v>43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hidden="1" x14ac:dyDescent="0.25">
      <c r="A19" t="s">
        <v>35</v>
      </c>
      <c r="B19">
        <v>2013</v>
      </c>
      <c r="C19" t="s">
        <v>42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 t="s">
        <v>43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hidden="1" x14ac:dyDescent="0.25">
      <c r="A20" t="s">
        <v>30</v>
      </c>
      <c r="B20">
        <v>2013</v>
      </c>
      <c r="C20" t="s">
        <v>44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hidden="1" x14ac:dyDescent="0.25">
      <c r="A21" t="s">
        <v>33</v>
      </c>
      <c r="B21">
        <v>2013</v>
      </c>
      <c r="C21" t="s">
        <v>44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 t="s">
        <v>45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hidden="1" x14ac:dyDescent="0.25">
      <c r="A22" t="s">
        <v>35</v>
      </c>
      <c r="B22">
        <v>2013</v>
      </c>
      <c r="C22" t="s">
        <v>44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 t="s">
        <v>45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hidden="1" x14ac:dyDescent="0.25">
      <c r="A23" t="s">
        <v>30</v>
      </c>
      <c r="B23">
        <v>2013</v>
      </c>
      <c r="C23" t="s">
        <v>46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hidden="1" x14ac:dyDescent="0.25">
      <c r="A24" t="s">
        <v>33</v>
      </c>
      <c r="B24">
        <v>2013</v>
      </c>
      <c r="C24" t="s">
        <v>46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 t="s">
        <v>47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hidden="1" x14ac:dyDescent="0.25">
      <c r="A25" t="s">
        <v>35</v>
      </c>
      <c r="B25">
        <v>2013</v>
      </c>
      <c r="C25" t="s">
        <v>46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 t="s">
        <v>47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hidden="1" x14ac:dyDescent="0.25">
      <c r="A26" t="s">
        <v>30</v>
      </c>
      <c r="B26">
        <v>2013</v>
      </c>
      <c r="C26" t="s">
        <v>48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hidden="1" x14ac:dyDescent="0.25">
      <c r="A27" t="s">
        <v>33</v>
      </c>
      <c r="B27">
        <v>2013</v>
      </c>
      <c r="C27" t="s">
        <v>48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 t="s">
        <v>49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hidden="1" x14ac:dyDescent="0.25">
      <c r="A28" t="s">
        <v>35</v>
      </c>
      <c r="B28">
        <v>2013</v>
      </c>
      <c r="C28" t="s">
        <v>48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hidden="1" x14ac:dyDescent="0.25">
      <c r="A29" t="s">
        <v>30</v>
      </c>
      <c r="B29">
        <v>2013</v>
      </c>
      <c r="C29" t="s">
        <v>50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hidden="1" x14ac:dyDescent="0.25">
      <c r="A30" t="s">
        <v>33</v>
      </c>
      <c r="B30">
        <v>2013</v>
      </c>
      <c r="C30" t="s">
        <v>50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 t="s">
        <v>51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hidden="1" x14ac:dyDescent="0.25">
      <c r="A31" t="s">
        <v>35</v>
      </c>
      <c r="B31">
        <v>2013</v>
      </c>
      <c r="C31" t="s">
        <v>50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 t="s">
        <v>51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hidden="1" x14ac:dyDescent="0.25">
      <c r="A32" t="s">
        <v>30</v>
      </c>
      <c r="B32">
        <v>2013</v>
      </c>
      <c r="C32" t="s">
        <v>52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hidden="1" x14ac:dyDescent="0.25">
      <c r="A33" t="s">
        <v>33</v>
      </c>
      <c r="B33">
        <v>2013</v>
      </c>
      <c r="C33" t="s">
        <v>53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 t="s">
        <v>54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hidden="1" x14ac:dyDescent="0.25">
      <c r="A34" t="s">
        <v>35</v>
      </c>
      <c r="B34">
        <v>2013</v>
      </c>
      <c r="C34" t="s">
        <v>53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 t="s">
        <v>54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hidden="1" x14ac:dyDescent="0.25">
      <c r="A35" t="s">
        <v>30</v>
      </c>
      <c r="B35">
        <v>2013</v>
      </c>
      <c r="C35" t="s">
        <v>55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hidden="1" x14ac:dyDescent="0.25">
      <c r="A36" t="s">
        <v>33</v>
      </c>
      <c r="B36">
        <v>2013</v>
      </c>
      <c r="C36" t="s">
        <v>55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 t="s">
        <v>56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hidden="1" x14ac:dyDescent="0.25">
      <c r="A37" t="s">
        <v>35</v>
      </c>
      <c r="B37">
        <v>2013</v>
      </c>
      <c r="C37" t="s">
        <v>55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 t="s">
        <v>56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hidden="1" x14ac:dyDescent="0.2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hidden="1" x14ac:dyDescent="0.2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 t="s">
        <v>57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hidden="1" x14ac:dyDescent="0.25">
      <c r="A40" t="s">
        <v>35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 t="s">
        <v>57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hidden="1" x14ac:dyDescent="0.25">
      <c r="A41" t="s">
        <v>30</v>
      </c>
      <c r="B41">
        <v>2014</v>
      </c>
      <c r="C41" t="s">
        <v>36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hidden="1" x14ac:dyDescent="0.25">
      <c r="A42" t="s">
        <v>33</v>
      </c>
      <c r="B42">
        <v>2014</v>
      </c>
      <c r="C42" t="s">
        <v>36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 t="s">
        <v>58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hidden="1" x14ac:dyDescent="0.25">
      <c r="A43" t="s">
        <v>35</v>
      </c>
      <c r="B43">
        <v>2014</v>
      </c>
      <c r="C43" t="s">
        <v>36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 t="s">
        <v>58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hidden="1" x14ac:dyDescent="0.25">
      <c r="A44" t="s">
        <v>30</v>
      </c>
      <c r="B44">
        <v>2014</v>
      </c>
      <c r="C44" t="s">
        <v>38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hidden="1" x14ac:dyDescent="0.25">
      <c r="A45" t="s">
        <v>33</v>
      </c>
      <c r="B45">
        <v>2014</v>
      </c>
      <c r="C45" t="s">
        <v>38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 t="s">
        <v>59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hidden="1" x14ac:dyDescent="0.25">
      <c r="A46" t="s">
        <v>35</v>
      </c>
      <c r="B46">
        <v>2014</v>
      </c>
      <c r="C46" t="s">
        <v>60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 t="s">
        <v>59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hidden="1" x14ac:dyDescent="0.25">
      <c r="A47" t="s">
        <v>30</v>
      </c>
      <c r="B47">
        <v>2014</v>
      </c>
      <c r="C47" t="s">
        <v>39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hidden="1" x14ac:dyDescent="0.25">
      <c r="A48" t="s">
        <v>33</v>
      </c>
      <c r="B48">
        <v>2014</v>
      </c>
      <c r="C48" t="s">
        <v>39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 t="s">
        <v>61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hidden="1" x14ac:dyDescent="0.25">
      <c r="A49" t="s">
        <v>35</v>
      </c>
      <c r="B49">
        <v>2014</v>
      </c>
      <c r="C49" t="s">
        <v>39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 t="s">
        <v>61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hidden="1" x14ac:dyDescent="0.25">
      <c r="A50" t="s">
        <v>30</v>
      </c>
      <c r="B50">
        <v>2014</v>
      </c>
      <c r="C50" t="s">
        <v>41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hidden="1" x14ac:dyDescent="0.25">
      <c r="A51" t="s">
        <v>33</v>
      </c>
      <c r="B51">
        <v>2014</v>
      </c>
      <c r="C51" t="s">
        <v>41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 t="s">
        <v>62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hidden="1" x14ac:dyDescent="0.25">
      <c r="A52" t="s">
        <v>35</v>
      </c>
      <c r="B52">
        <v>2014</v>
      </c>
      <c r="C52" t="s">
        <v>41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 t="s">
        <v>62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hidden="1" x14ac:dyDescent="0.25">
      <c r="A53" t="s">
        <v>30</v>
      </c>
      <c r="B53">
        <v>2014</v>
      </c>
      <c r="C53" t="s">
        <v>42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hidden="1" x14ac:dyDescent="0.25">
      <c r="A54" t="s">
        <v>33</v>
      </c>
      <c r="B54">
        <v>2014</v>
      </c>
      <c r="C54" t="s">
        <v>42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 t="s">
        <v>61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hidden="1" x14ac:dyDescent="0.25">
      <c r="A55" t="s">
        <v>35</v>
      </c>
      <c r="B55">
        <v>2014</v>
      </c>
      <c r="C55" t="s">
        <v>42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 t="s">
        <v>61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hidden="1" x14ac:dyDescent="0.25">
      <c r="A56" t="s">
        <v>30</v>
      </c>
      <c r="B56">
        <v>2014</v>
      </c>
      <c r="C56" t="s">
        <v>44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hidden="1" x14ac:dyDescent="0.25">
      <c r="A57" t="s">
        <v>33</v>
      </c>
      <c r="B57">
        <v>2014</v>
      </c>
      <c r="C57" t="s">
        <v>44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 t="s">
        <v>63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hidden="1" x14ac:dyDescent="0.25">
      <c r="A58" t="s">
        <v>35</v>
      </c>
      <c r="B58">
        <v>2014</v>
      </c>
      <c r="C58" t="s">
        <v>44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 t="s">
        <v>63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hidden="1" x14ac:dyDescent="0.25">
      <c r="A59" t="s">
        <v>30</v>
      </c>
      <c r="B59">
        <v>2014</v>
      </c>
      <c r="C59" t="s">
        <v>46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hidden="1" x14ac:dyDescent="0.25">
      <c r="A60" t="s">
        <v>33</v>
      </c>
      <c r="B60">
        <v>2014</v>
      </c>
      <c r="C60" t="s">
        <v>46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 t="s">
        <v>64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hidden="1" x14ac:dyDescent="0.25">
      <c r="A61" t="s">
        <v>35</v>
      </c>
      <c r="B61">
        <v>2014</v>
      </c>
      <c r="C61" t="s">
        <v>46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 t="s">
        <v>64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hidden="1" x14ac:dyDescent="0.25">
      <c r="A62" t="s">
        <v>30</v>
      </c>
      <c r="B62">
        <v>2014</v>
      </c>
      <c r="C62" t="s">
        <v>48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hidden="1" x14ac:dyDescent="0.25">
      <c r="A63" t="s">
        <v>33</v>
      </c>
      <c r="B63">
        <v>2014</v>
      </c>
      <c r="C63" t="s">
        <v>48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 t="s">
        <v>65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hidden="1" x14ac:dyDescent="0.25">
      <c r="A64" t="s">
        <v>35</v>
      </c>
      <c r="B64">
        <v>2014</v>
      </c>
      <c r="C64" t="s">
        <v>48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 t="s">
        <v>65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hidden="1" x14ac:dyDescent="0.25">
      <c r="A65" t="s">
        <v>30</v>
      </c>
      <c r="B65">
        <v>2014</v>
      </c>
      <c r="C65" t="s">
        <v>50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hidden="1" x14ac:dyDescent="0.25">
      <c r="A66" t="s">
        <v>33</v>
      </c>
      <c r="B66">
        <v>2014</v>
      </c>
      <c r="C66" t="s">
        <v>50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 t="s">
        <v>66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hidden="1" x14ac:dyDescent="0.25">
      <c r="A67" t="s">
        <v>35</v>
      </c>
      <c r="B67">
        <v>2014</v>
      </c>
      <c r="C67" t="s">
        <v>50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 t="s">
        <v>66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hidden="1" x14ac:dyDescent="0.25">
      <c r="A68" t="s">
        <v>30</v>
      </c>
      <c r="B68">
        <v>2014</v>
      </c>
      <c r="C68" t="s">
        <v>53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hidden="1" x14ac:dyDescent="0.25">
      <c r="A69" t="s">
        <v>33</v>
      </c>
      <c r="B69">
        <v>2014</v>
      </c>
      <c r="C69" t="s">
        <v>53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 t="s">
        <v>67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hidden="1" x14ac:dyDescent="0.25">
      <c r="A70" t="s">
        <v>35</v>
      </c>
      <c r="B70">
        <v>2014</v>
      </c>
      <c r="C70" t="s">
        <v>53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 t="s">
        <v>67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hidden="1" x14ac:dyDescent="0.25">
      <c r="A71" t="s">
        <v>30</v>
      </c>
      <c r="B71">
        <v>2014</v>
      </c>
      <c r="C71" t="s">
        <v>55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hidden="1" x14ac:dyDescent="0.25">
      <c r="A72" t="s">
        <v>33</v>
      </c>
      <c r="B72">
        <v>2014</v>
      </c>
      <c r="C72" t="s">
        <v>55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 t="s">
        <v>68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hidden="1" x14ac:dyDescent="0.25">
      <c r="A73" t="s">
        <v>35</v>
      </c>
      <c r="B73">
        <v>2014</v>
      </c>
      <c r="C73" t="s">
        <v>55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 t="s">
        <v>68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hidden="1" x14ac:dyDescent="0.2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hidden="1" x14ac:dyDescent="0.2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 t="s">
        <v>69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hidden="1" x14ac:dyDescent="0.25">
      <c r="A76" t="s">
        <v>35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 t="s">
        <v>69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hidden="1" x14ac:dyDescent="0.25">
      <c r="A77" t="s">
        <v>30</v>
      </c>
      <c r="B77">
        <v>2015</v>
      </c>
      <c r="C77" t="s">
        <v>36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hidden="1" x14ac:dyDescent="0.25">
      <c r="A78" t="s">
        <v>33</v>
      </c>
      <c r="B78">
        <v>2015</v>
      </c>
      <c r="C78" t="s">
        <v>36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 t="s">
        <v>70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hidden="1" x14ac:dyDescent="0.25">
      <c r="A79" t="s">
        <v>35</v>
      </c>
      <c r="B79">
        <v>2015</v>
      </c>
      <c r="C79" t="s">
        <v>36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 t="s">
        <v>70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hidden="1" x14ac:dyDescent="0.25">
      <c r="A80" t="s">
        <v>30</v>
      </c>
      <c r="B80">
        <v>2015</v>
      </c>
      <c r="C80" t="s">
        <v>38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hidden="1" x14ac:dyDescent="0.25">
      <c r="A81" t="s">
        <v>33</v>
      </c>
      <c r="B81">
        <v>2015</v>
      </c>
      <c r="C81" t="s">
        <v>38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 t="s">
        <v>71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hidden="1" x14ac:dyDescent="0.25">
      <c r="A82" t="s">
        <v>35</v>
      </c>
      <c r="B82">
        <v>2015</v>
      </c>
      <c r="C82" t="s">
        <v>38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 t="s">
        <v>71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hidden="1" x14ac:dyDescent="0.25">
      <c r="A83" t="s">
        <v>30</v>
      </c>
      <c r="B83">
        <v>2015</v>
      </c>
      <c r="C83" t="s">
        <v>39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hidden="1" x14ac:dyDescent="0.25">
      <c r="A84" t="s">
        <v>33</v>
      </c>
      <c r="B84">
        <v>2015</v>
      </c>
      <c r="C84" t="s">
        <v>39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 t="s">
        <v>72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hidden="1" x14ac:dyDescent="0.25">
      <c r="A85" t="s">
        <v>35</v>
      </c>
      <c r="B85">
        <v>2015</v>
      </c>
      <c r="C85" t="s">
        <v>39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 t="s">
        <v>72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hidden="1" x14ac:dyDescent="0.25">
      <c r="A86" t="s">
        <v>30</v>
      </c>
      <c r="B86">
        <v>2015</v>
      </c>
      <c r="C86" t="s">
        <v>41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hidden="1" x14ac:dyDescent="0.25">
      <c r="A87" t="s">
        <v>33</v>
      </c>
      <c r="B87">
        <v>2015</v>
      </c>
      <c r="C87" t="s">
        <v>41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 t="s">
        <v>73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hidden="1" x14ac:dyDescent="0.25">
      <c r="A88" t="s">
        <v>35</v>
      </c>
      <c r="B88">
        <v>2015</v>
      </c>
      <c r="C88" t="s">
        <v>41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 t="s">
        <v>73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hidden="1" x14ac:dyDescent="0.25">
      <c r="A89" t="s">
        <v>30</v>
      </c>
      <c r="B89">
        <v>2015</v>
      </c>
      <c r="C89" t="s">
        <v>42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hidden="1" x14ac:dyDescent="0.25">
      <c r="A90" t="s">
        <v>33</v>
      </c>
      <c r="B90">
        <v>2015</v>
      </c>
      <c r="C90" t="s">
        <v>42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 t="s">
        <v>74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hidden="1" x14ac:dyDescent="0.25">
      <c r="A91" t="s">
        <v>35</v>
      </c>
      <c r="B91">
        <v>2015</v>
      </c>
      <c r="C91" t="s">
        <v>42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 t="s">
        <v>74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hidden="1" x14ac:dyDescent="0.25">
      <c r="A92" t="s">
        <v>30</v>
      </c>
      <c r="B92">
        <v>2015</v>
      </c>
      <c r="C92" t="s">
        <v>44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hidden="1" x14ac:dyDescent="0.25">
      <c r="A93" t="s">
        <v>33</v>
      </c>
      <c r="B93">
        <v>2015</v>
      </c>
      <c r="C93" t="s">
        <v>44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 t="s">
        <v>75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hidden="1" x14ac:dyDescent="0.25">
      <c r="A94" t="s">
        <v>35</v>
      </c>
      <c r="B94">
        <v>2015</v>
      </c>
      <c r="C94" t="s">
        <v>44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 t="s">
        <v>75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hidden="1" x14ac:dyDescent="0.25">
      <c r="A95" t="s">
        <v>30</v>
      </c>
      <c r="B95">
        <v>2015</v>
      </c>
      <c r="C95" t="s">
        <v>46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hidden="1" x14ac:dyDescent="0.25">
      <c r="A96" t="s">
        <v>33</v>
      </c>
      <c r="B96">
        <v>2015</v>
      </c>
      <c r="C96" t="s">
        <v>46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 t="s">
        <v>76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hidden="1" x14ac:dyDescent="0.25">
      <c r="A97" t="s">
        <v>35</v>
      </c>
      <c r="B97">
        <v>2015</v>
      </c>
      <c r="C97" t="s">
        <v>46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 t="s">
        <v>76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hidden="1" x14ac:dyDescent="0.25">
      <c r="A98" t="s">
        <v>30</v>
      </c>
      <c r="B98">
        <v>2015</v>
      </c>
      <c r="C98" t="s">
        <v>48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hidden="1" x14ac:dyDescent="0.25">
      <c r="A99" t="s">
        <v>33</v>
      </c>
      <c r="B99">
        <v>2015</v>
      </c>
      <c r="C99" t="s">
        <v>48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 t="s">
        <v>77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hidden="1" x14ac:dyDescent="0.25">
      <c r="A100" t="s">
        <v>35</v>
      </c>
      <c r="B100">
        <v>2015</v>
      </c>
      <c r="C100" t="s">
        <v>48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 t="s">
        <v>77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hidden="1" x14ac:dyDescent="0.25">
      <c r="A101" t="s">
        <v>30</v>
      </c>
      <c r="B101">
        <v>2015</v>
      </c>
      <c r="C101" t="s">
        <v>50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hidden="1" x14ac:dyDescent="0.25">
      <c r="A102" t="s">
        <v>33</v>
      </c>
      <c r="B102">
        <v>2015</v>
      </c>
      <c r="C102" t="s">
        <v>50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 t="s">
        <v>78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hidden="1" x14ac:dyDescent="0.25">
      <c r="A103" t="s">
        <v>35</v>
      </c>
      <c r="B103">
        <v>2015</v>
      </c>
      <c r="C103" t="s">
        <v>50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 t="s">
        <v>78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hidden="1" x14ac:dyDescent="0.25">
      <c r="A104" t="s">
        <v>30</v>
      </c>
      <c r="B104">
        <v>2015</v>
      </c>
      <c r="C104" t="s">
        <v>53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hidden="1" x14ac:dyDescent="0.25">
      <c r="A105" t="s">
        <v>33</v>
      </c>
      <c r="B105">
        <v>2015</v>
      </c>
      <c r="C105" t="s">
        <v>53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 t="s">
        <v>79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hidden="1" x14ac:dyDescent="0.25">
      <c r="A106" t="s">
        <v>35</v>
      </c>
      <c r="B106">
        <v>2015</v>
      </c>
      <c r="C106" t="s">
        <v>53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 t="s">
        <v>79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hidden="1" x14ac:dyDescent="0.25">
      <c r="A107" t="s">
        <v>30</v>
      </c>
      <c r="B107">
        <v>2015</v>
      </c>
      <c r="C107" t="s">
        <v>55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hidden="1" x14ac:dyDescent="0.25">
      <c r="A108" t="s">
        <v>33</v>
      </c>
      <c r="B108">
        <v>2015</v>
      </c>
      <c r="C108" t="s">
        <v>55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 t="s">
        <v>78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hidden="1" x14ac:dyDescent="0.25">
      <c r="A109" t="s">
        <v>35</v>
      </c>
      <c r="B109">
        <v>2015</v>
      </c>
      <c r="C109" t="s">
        <v>55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 t="s">
        <v>78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hidden="1" x14ac:dyDescent="0.2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hidden="1" x14ac:dyDescent="0.2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 t="s">
        <v>80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hidden="1" x14ac:dyDescent="0.25">
      <c r="A112" t="s">
        <v>35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 t="s">
        <v>80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hidden="1" x14ac:dyDescent="0.25">
      <c r="A113" t="s">
        <v>30</v>
      </c>
      <c r="B113">
        <v>2016</v>
      </c>
      <c r="C113" t="s">
        <v>36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hidden="1" x14ac:dyDescent="0.25">
      <c r="A114" t="s">
        <v>33</v>
      </c>
      <c r="B114">
        <v>2016</v>
      </c>
      <c r="C114" t="s">
        <v>36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 t="s">
        <v>81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hidden="1" x14ac:dyDescent="0.25">
      <c r="A115" t="s">
        <v>35</v>
      </c>
      <c r="B115">
        <v>2016</v>
      </c>
      <c r="C115" t="s">
        <v>36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 t="s">
        <v>81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hidden="1" x14ac:dyDescent="0.25">
      <c r="A116" t="s">
        <v>30</v>
      </c>
      <c r="B116">
        <v>2016</v>
      </c>
      <c r="C116" t="s">
        <v>38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hidden="1" x14ac:dyDescent="0.25">
      <c r="A117" t="s">
        <v>33</v>
      </c>
      <c r="B117">
        <v>2016</v>
      </c>
      <c r="C117" t="s">
        <v>38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 t="s">
        <v>82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hidden="1" x14ac:dyDescent="0.25">
      <c r="A118" t="s">
        <v>35</v>
      </c>
      <c r="B118">
        <v>2016</v>
      </c>
      <c r="C118" t="s">
        <v>38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 t="s">
        <v>82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hidden="1" x14ac:dyDescent="0.25">
      <c r="A119" t="s">
        <v>30</v>
      </c>
      <c r="B119">
        <v>2016</v>
      </c>
      <c r="C119" t="s">
        <v>39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hidden="1" x14ac:dyDescent="0.25">
      <c r="A120" t="s">
        <v>33</v>
      </c>
      <c r="B120">
        <v>2016</v>
      </c>
      <c r="C120" t="s">
        <v>39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 t="s">
        <v>83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hidden="1" x14ac:dyDescent="0.25">
      <c r="A121" t="s">
        <v>35</v>
      </c>
      <c r="B121">
        <v>2016</v>
      </c>
      <c r="C121" t="s">
        <v>39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 t="s">
        <v>83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hidden="1" x14ac:dyDescent="0.25">
      <c r="A122" t="s">
        <v>30</v>
      </c>
      <c r="B122">
        <v>2016</v>
      </c>
      <c r="C122" t="s">
        <v>41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hidden="1" x14ac:dyDescent="0.25">
      <c r="A123" t="s">
        <v>33</v>
      </c>
      <c r="B123">
        <v>2016</v>
      </c>
      <c r="C123" t="s">
        <v>41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 t="s">
        <v>84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hidden="1" x14ac:dyDescent="0.25">
      <c r="A124" t="s">
        <v>35</v>
      </c>
      <c r="B124">
        <v>2016</v>
      </c>
      <c r="C124" t="s">
        <v>41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 t="s">
        <v>84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hidden="1" x14ac:dyDescent="0.25">
      <c r="A125" t="s">
        <v>30</v>
      </c>
      <c r="B125">
        <v>2016</v>
      </c>
      <c r="C125" t="s">
        <v>42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hidden="1" x14ac:dyDescent="0.25">
      <c r="A126" t="s">
        <v>33</v>
      </c>
      <c r="B126">
        <v>2016</v>
      </c>
      <c r="C126" t="s">
        <v>42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 t="s">
        <v>85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hidden="1" x14ac:dyDescent="0.25">
      <c r="A127" t="s">
        <v>35</v>
      </c>
      <c r="B127">
        <v>2016</v>
      </c>
      <c r="C127" t="s">
        <v>42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 t="s">
        <v>85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hidden="1" x14ac:dyDescent="0.25">
      <c r="A128" t="s">
        <v>30</v>
      </c>
      <c r="B128">
        <v>2016</v>
      </c>
      <c r="C128" t="s">
        <v>44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hidden="1" x14ac:dyDescent="0.25">
      <c r="A129" t="s">
        <v>33</v>
      </c>
      <c r="B129">
        <v>2016</v>
      </c>
      <c r="C129" t="s">
        <v>44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 t="s">
        <v>86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hidden="1" x14ac:dyDescent="0.25">
      <c r="A130" t="s">
        <v>35</v>
      </c>
      <c r="B130">
        <v>2016</v>
      </c>
      <c r="C130" t="s">
        <v>44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 t="s">
        <v>86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hidden="1" x14ac:dyDescent="0.25">
      <c r="A131" t="s">
        <v>30</v>
      </c>
      <c r="B131">
        <v>2016</v>
      </c>
      <c r="C131" t="s">
        <v>46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hidden="1" x14ac:dyDescent="0.25">
      <c r="A132" t="s">
        <v>33</v>
      </c>
      <c r="B132">
        <v>2016</v>
      </c>
      <c r="C132" t="s">
        <v>46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 t="s">
        <v>87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hidden="1" x14ac:dyDescent="0.25">
      <c r="A133" t="s">
        <v>35</v>
      </c>
      <c r="B133">
        <v>2016</v>
      </c>
      <c r="C133" t="s">
        <v>46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 t="s">
        <v>87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hidden="1" x14ac:dyDescent="0.25">
      <c r="A134" t="s">
        <v>30</v>
      </c>
      <c r="B134">
        <v>2016</v>
      </c>
      <c r="C134" t="s">
        <v>48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hidden="1" x14ac:dyDescent="0.25">
      <c r="A135" t="s">
        <v>33</v>
      </c>
      <c r="B135">
        <v>2016</v>
      </c>
      <c r="C135" t="s">
        <v>48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 t="s">
        <v>88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hidden="1" x14ac:dyDescent="0.25">
      <c r="A136" t="s">
        <v>35</v>
      </c>
      <c r="B136">
        <v>2016</v>
      </c>
      <c r="C136" t="s">
        <v>48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 t="s">
        <v>88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hidden="1" x14ac:dyDescent="0.25">
      <c r="A137" t="s">
        <v>30</v>
      </c>
      <c r="B137">
        <v>2016</v>
      </c>
      <c r="C137" t="s">
        <v>50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hidden="1" x14ac:dyDescent="0.25">
      <c r="A138" t="s">
        <v>33</v>
      </c>
      <c r="B138">
        <v>2016</v>
      </c>
      <c r="C138" t="s">
        <v>50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 t="s">
        <v>89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hidden="1" x14ac:dyDescent="0.25">
      <c r="A139" t="s">
        <v>35</v>
      </c>
      <c r="B139">
        <v>2016</v>
      </c>
      <c r="C139" t="s">
        <v>50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 t="s">
        <v>89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hidden="1" x14ac:dyDescent="0.25">
      <c r="A140" t="s">
        <v>30</v>
      </c>
      <c r="B140">
        <v>2016</v>
      </c>
      <c r="C140" t="s">
        <v>53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hidden="1" x14ac:dyDescent="0.25">
      <c r="A141" t="s">
        <v>33</v>
      </c>
      <c r="B141">
        <v>2016</v>
      </c>
      <c r="C141" t="s">
        <v>53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 t="s">
        <v>90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hidden="1" x14ac:dyDescent="0.25">
      <c r="A142" t="s">
        <v>35</v>
      </c>
      <c r="B142">
        <v>2016</v>
      </c>
      <c r="C142" t="s">
        <v>53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 t="s">
        <v>90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hidden="1" x14ac:dyDescent="0.25">
      <c r="A143" t="s">
        <v>30</v>
      </c>
      <c r="B143">
        <v>2016</v>
      </c>
      <c r="C143" t="s">
        <v>55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hidden="1" x14ac:dyDescent="0.25">
      <c r="A144" t="s">
        <v>33</v>
      </c>
      <c r="B144">
        <v>2016</v>
      </c>
      <c r="C144" t="s">
        <v>55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 t="s">
        <v>91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hidden="1" x14ac:dyDescent="0.25">
      <c r="A145" t="s">
        <v>35</v>
      </c>
      <c r="B145">
        <v>2016</v>
      </c>
      <c r="C145" t="s">
        <v>55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 t="s">
        <v>91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hidden="1" x14ac:dyDescent="0.2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hidden="1" x14ac:dyDescent="0.2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 t="s">
        <v>92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hidden="1" x14ac:dyDescent="0.25">
      <c r="A148" t="s">
        <v>35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 t="s">
        <v>92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hidden="1" x14ac:dyDescent="0.25">
      <c r="A149" t="s">
        <v>30</v>
      </c>
      <c r="B149">
        <v>2017</v>
      </c>
      <c r="C149" t="s">
        <v>36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hidden="1" x14ac:dyDescent="0.25">
      <c r="A150" t="s">
        <v>33</v>
      </c>
      <c r="B150">
        <v>2017</v>
      </c>
      <c r="C150" t="s">
        <v>36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 t="s">
        <v>93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hidden="1" x14ac:dyDescent="0.25">
      <c r="A151" t="s">
        <v>35</v>
      </c>
      <c r="B151">
        <v>2017</v>
      </c>
      <c r="C151" t="s">
        <v>36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 t="s">
        <v>93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hidden="1" x14ac:dyDescent="0.25">
      <c r="A152" t="s">
        <v>30</v>
      </c>
      <c r="B152">
        <v>2017</v>
      </c>
      <c r="C152" t="s">
        <v>38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hidden="1" x14ac:dyDescent="0.25">
      <c r="A153" t="s">
        <v>33</v>
      </c>
      <c r="B153">
        <v>2017</v>
      </c>
      <c r="C153" t="s">
        <v>38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 t="s">
        <v>94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hidden="1" x14ac:dyDescent="0.25">
      <c r="A154" t="s">
        <v>35</v>
      </c>
      <c r="B154">
        <v>2017</v>
      </c>
      <c r="C154" t="s">
        <v>38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 t="s">
        <v>94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hidden="1" x14ac:dyDescent="0.25">
      <c r="A155" t="s">
        <v>30</v>
      </c>
      <c r="B155">
        <v>2017</v>
      </c>
      <c r="C155" t="s">
        <v>39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hidden="1" x14ac:dyDescent="0.25">
      <c r="A156" t="s">
        <v>33</v>
      </c>
      <c r="B156">
        <v>2017</v>
      </c>
      <c r="C156" t="s">
        <v>39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 t="s">
        <v>95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hidden="1" x14ac:dyDescent="0.25">
      <c r="A157" t="s">
        <v>35</v>
      </c>
      <c r="B157">
        <v>2017</v>
      </c>
      <c r="C157" t="s">
        <v>39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 t="s">
        <v>95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hidden="1" x14ac:dyDescent="0.25">
      <c r="A158" t="s">
        <v>30</v>
      </c>
      <c r="B158">
        <v>2017</v>
      </c>
      <c r="C158" t="s">
        <v>41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hidden="1" x14ac:dyDescent="0.25">
      <c r="A159" t="s">
        <v>33</v>
      </c>
      <c r="B159">
        <v>2017</v>
      </c>
      <c r="C159" t="s">
        <v>41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 t="s">
        <v>96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hidden="1" x14ac:dyDescent="0.25">
      <c r="A160" t="s">
        <v>35</v>
      </c>
      <c r="B160">
        <v>2017</v>
      </c>
      <c r="C160" t="s">
        <v>41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 t="s">
        <v>96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hidden="1" x14ac:dyDescent="0.25">
      <c r="A161" t="s">
        <v>30</v>
      </c>
      <c r="B161">
        <v>2017</v>
      </c>
      <c r="C161" t="s">
        <v>42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hidden="1" x14ac:dyDescent="0.25">
      <c r="A162" t="s">
        <v>33</v>
      </c>
      <c r="B162">
        <v>2017</v>
      </c>
      <c r="C162" t="s">
        <v>42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 t="s">
        <v>97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hidden="1" x14ac:dyDescent="0.25">
      <c r="A163" t="s">
        <v>35</v>
      </c>
      <c r="B163">
        <v>2017</v>
      </c>
      <c r="C163" t="s">
        <v>42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 t="s">
        <v>97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hidden="1" x14ac:dyDescent="0.25">
      <c r="A164" t="s">
        <v>30</v>
      </c>
      <c r="B164">
        <v>2017</v>
      </c>
      <c r="C164" t="s">
        <v>44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hidden="1" x14ac:dyDescent="0.25">
      <c r="A165" t="s">
        <v>33</v>
      </c>
      <c r="B165">
        <v>2017</v>
      </c>
      <c r="C165" t="s">
        <v>44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 t="s">
        <v>98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hidden="1" x14ac:dyDescent="0.25">
      <c r="A166" t="s">
        <v>35</v>
      </c>
      <c r="B166">
        <v>2017</v>
      </c>
      <c r="C166" t="s">
        <v>44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 t="s">
        <v>98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hidden="1" x14ac:dyDescent="0.25">
      <c r="A167" t="s">
        <v>30</v>
      </c>
      <c r="B167">
        <v>2017</v>
      </c>
      <c r="C167" t="s">
        <v>46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hidden="1" x14ac:dyDescent="0.25">
      <c r="A168" t="s">
        <v>33</v>
      </c>
      <c r="B168">
        <v>2017</v>
      </c>
      <c r="C168" t="s">
        <v>46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 t="s">
        <v>99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hidden="1" x14ac:dyDescent="0.25">
      <c r="A169" t="s">
        <v>35</v>
      </c>
      <c r="B169">
        <v>2017</v>
      </c>
      <c r="C169" t="s">
        <v>46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 t="s">
        <v>99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hidden="1" x14ac:dyDescent="0.25">
      <c r="A170" t="s">
        <v>30</v>
      </c>
      <c r="B170">
        <v>2017</v>
      </c>
      <c r="C170" t="s">
        <v>48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hidden="1" x14ac:dyDescent="0.25">
      <c r="A171" t="s">
        <v>33</v>
      </c>
      <c r="B171">
        <v>2017</v>
      </c>
      <c r="C171" t="s">
        <v>48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 t="s">
        <v>100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hidden="1" x14ac:dyDescent="0.25">
      <c r="A172" t="s">
        <v>35</v>
      </c>
      <c r="B172">
        <v>2017</v>
      </c>
      <c r="C172" t="s">
        <v>48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 t="s">
        <v>100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hidden="1" x14ac:dyDescent="0.25">
      <c r="A173" t="s">
        <v>30</v>
      </c>
      <c r="B173">
        <v>2017</v>
      </c>
      <c r="C173" t="s">
        <v>50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hidden="1" x14ac:dyDescent="0.25">
      <c r="A174" t="s">
        <v>33</v>
      </c>
      <c r="B174">
        <v>2017</v>
      </c>
      <c r="C174" t="s">
        <v>50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 t="s">
        <v>101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hidden="1" x14ac:dyDescent="0.25">
      <c r="A175" t="s">
        <v>35</v>
      </c>
      <c r="B175">
        <v>2017</v>
      </c>
      <c r="C175" t="s">
        <v>50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 t="s">
        <v>101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hidden="1" x14ac:dyDescent="0.25">
      <c r="A176" t="s">
        <v>30</v>
      </c>
      <c r="B176">
        <v>2017</v>
      </c>
      <c r="C176" t="s">
        <v>53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hidden="1" x14ac:dyDescent="0.25">
      <c r="A177" t="s">
        <v>33</v>
      </c>
      <c r="B177">
        <v>2017</v>
      </c>
      <c r="C177" t="s">
        <v>53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 t="s">
        <v>102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hidden="1" x14ac:dyDescent="0.25">
      <c r="A178" t="s">
        <v>35</v>
      </c>
      <c r="B178">
        <v>2017</v>
      </c>
      <c r="C178" t="s">
        <v>53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 t="s">
        <v>102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hidden="1" x14ac:dyDescent="0.25">
      <c r="A179" t="s">
        <v>30</v>
      </c>
      <c r="B179">
        <v>2017</v>
      </c>
      <c r="C179" t="s">
        <v>55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hidden="1" x14ac:dyDescent="0.25">
      <c r="A180" t="s">
        <v>33</v>
      </c>
      <c r="B180">
        <v>2017</v>
      </c>
      <c r="C180" t="s">
        <v>55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 t="s">
        <v>103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hidden="1" x14ac:dyDescent="0.25">
      <c r="A181" t="s">
        <v>35</v>
      </c>
      <c r="B181">
        <v>2017</v>
      </c>
      <c r="C181" t="s">
        <v>55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 t="s">
        <v>103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hidden="1" x14ac:dyDescent="0.2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hidden="1" x14ac:dyDescent="0.2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 t="s">
        <v>104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hidden="1" x14ac:dyDescent="0.25">
      <c r="A184" t="s">
        <v>35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 t="s">
        <v>104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hidden="1" x14ac:dyDescent="0.25">
      <c r="A185" t="s">
        <v>30</v>
      </c>
      <c r="B185">
        <v>2018</v>
      </c>
      <c r="C185" t="s">
        <v>36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hidden="1" x14ac:dyDescent="0.25">
      <c r="A186" t="s">
        <v>33</v>
      </c>
      <c r="B186">
        <v>2018</v>
      </c>
      <c r="C186" t="s">
        <v>36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 t="s">
        <v>105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hidden="1" x14ac:dyDescent="0.25">
      <c r="A187" t="s">
        <v>35</v>
      </c>
      <c r="B187">
        <v>2018</v>
      </c>
      <c r="C187" t="s">
        <v>36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 t="s">
        <v>105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hidden="1" x14ac:dyDescent="0.25">
      <c r="A188" t="s">
        <v>30</v>
      </c>
      <c r="B188">
        <v>2018</v>
      </c>
      <c r="C188" t="s">
        <v>38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hidden="1" x14ac:dyDescent="0.25">
      <c r="A189" t="s">
        <v>33</v>
      </c>
      <c r="B189">
        <v>2018</v>
      </c>
      <c r="C189" t="s">
        <v>38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 t="s">
        <v>106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hidden="1" x14ac:dyDescent="0.25">
      <c r="A190" t="s">
        <v>35</v>
      </c>
      <c r="B190">
        <v>2018</v>
      </c>
      <c r="C190" t="s">
        <v>38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 t="s">
        <v>106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hidden="1" x14ac:dyDescent="0.25">
      <c r="A191" t="s">
        <v>30</v>
      </c>
      <c r="B191">
        <v>2018</v>
      </c>
      <c r="C191" t="s">
        <v>39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hidden="1" x14ac:dyDescent="0.25">
      <c r="A192" t="s">
        <v>33</v>
      </c>
      <c r="B192">
        <v>2018</v>
      </c>
      <c r="C192" t="s">
        <v>39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 t="s">
        <v>107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hidden="1" x14ac:dyDescent="0.25">
      <c r="A193" t="s">
        <v>35</v>
      </c>
      <c r="B193">
        <v>2018</v>
      </c>
      <c r="C193" t="s">
        <v>39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 t="s">
        <v>107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hidden="1" x14ac:dyDescent="0.25">
      <c r="A194" t="s">
        <v>30</v>
      </c>
      <c r="B194">
        <v>2018</v>
      </c>
      <c r="C194" t="s">
        <v>41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hidden="1" x14ac:dyDescent="0.25">
      <c r="A195" t="s">
        <v>33</v>
      </c>
      <c r="B195">
        <v>2018</v>
      </c>
      <c r="C195" t="s">
        <v>41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 t="s">
        <v>108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hidden="1" x14ac:dyDescent="0.25">
      <c r="A196" t="s">
        <v>35</v>
      </c>
      <c r="B196">
        <v>2018</v>
      </c>
      <c r="C196" t="s">
        <v>41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 t="s">
        <v>108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hidden="1" x14ac:dyDescent="0.25">
      <c r="A197" t="s">
        <v>30</v>
      </c>
      <c r="B197">
        <v>2018</v>
      </c>
      <c r="C197" t="s">
        <v>42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hidden="1" x14ac:dyDescent="0.25">
      <c r="A198" t="s">
        <v>33</v>
      </c>
      <c r="B198">
        <v>2018</v>
      </c>
      <c r="C198" t="s">
        <v>42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 t="s">
        <v>109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hidden="1" x14ac:dyDescent="0.25">
      <c r="A199" t="s">
        <v>35</v>
      </c>
      <c r="B199">
        <v>2018</v>
      </c>
      <c r="C199" t="s">
        <v>42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 t="s">
        <v>109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hidden="1" x14ac:dyDescent="0.25">
      <c r="A200" t="s">
        <v>30</v>
      </c>
      <c r="B200">
        <v>2018</v>
      </c>
      <c r="C200" t="s">
        <v>44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hidden="1" x14ac:dyDescent="0.25">
      <c r="A201" t="s">
        <v>33</v>
      </c>
      <c r="B201">
        <v>2018</v>
      </c>
      <c r="C201" t="s">
        <v>44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 t="s">
        <v>110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hidden="1" x14ac:dyDescent="0.25">
      <c r="A202" t="s">
        <v>35</v>
      </c>
      <c r="B202">
        <v>2018</v>
      </c>
      <c r="C202" t="s">
        <v>44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 t="s">
        <v>110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hidden="1" x14ac:dyDescent="0.25">
      <c r="A203" t="s">
        <v>30</v>
      </c>
      <c r="B203">
        <v>2018</v>
      </c>
      <c r="C203" t="s">
        <v>46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hidden="1" x14ac:dyDescent="0.25">
      <c r="A204" t="s">
        <v>33</v>
      </c>
      <c r="B204">
        <v>2018</v>
      </c>
      <c r="C204" t="s">
        <v>46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 t="s">
        <v>111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hidden="1" x14ac:dyDescent="0.25">
      <c r="A205" t="s">
        <v>35</v>
      </c>
      <c r="B205">
        <v>2018</v>
      </c>
      <c r="C205" t="s">
        <v>46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 t="s">
        <v>111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hidden="1" x14ac:dyDescent="0.25">
      <c r="A206" t="s">
        <v>30</v>
      </c>
      <c r="B206">
        <v>2018</v>
      </c>
      <c r="C206" t="s">
        <v>48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hidden="1" x14ac:dyDescent="0.25">
      <c r="A207" t="s">
        <v>33</v>
      </c>
      <c r="B207">
        <v>2018</v>
      </c>
      <c r="C207" t="s">
        <v>48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 t="s">
        <v>112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hidden="1" x14ac:dyDescent="0.25">
      <c r="A208" t="s">
        <v>35</v>
      </c>
      <c r="B208">
        <v>2018</v>
      </c>
      <c r="C208" t="s">
        <v>48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 t="s">
        <v>112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hidden="1" x14ac:dyDescent="0.25">
      <c r="A209" t="s">
        <v>30</v>
      </c>
      <c r="B209">
        <v>2018</v>
      </c>
      <c r="C209" t="s">
        <v>50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hidden="1" x14ac:dyDescent="0.25">
      <c r="A210" t="s">
        <v>33</v>
      </c>
      <c r="B210">
        <v>2018</v>
      </c>
      <c r="C210" t="s">
        <v>50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 t="s">
        <v>113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hidden="1" x14ac:dyDescent="0.25">
      <c r="A211" t="s">
        <v>35</v>
      </c>
      <c r="B211">
        <v>2018</v>
      </c>
      <c r="C211" t="s">
        <v>50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 t="s">
        <v>114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hidden="1" x14ac:dyDescent="0.25">
      <c r="A212" t="s">
        <v>30</v>
      </c>
      <c r="B212">
        <v>2018</v>
      </c>
      <c r="C212" t="s">
        <v>53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hidden="1" x14ac:dyDescent="0.25">
      <c r="A213" t="s">
        <v>33</v>
      </c>
      <c r="B213">
        <v>2018</v>
      </c>
      <c r="C213" t="s">
        <v>53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 t="s">
        <v>114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hidden="1" x14ac:dyDescent="0.25">
      <c r="A214" t="s">
        <v>35</v>
      </c>
      <c r="B214">
        <v>2018</v>
      </c>
      <c r="C214" t="s">
        <v>53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 t="s">
        <v>114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hidden="1" x14ac:dyDescent="0.25">
      <c r="A215" t="s">
        <v>30</v>
      </c>
      <c r="B215">
        <v>2018</v>
      </c>
      <c r="C215" t="s">
        <v>55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hidden="1" x14ac:dyDescent="0.25">
      <c r="A216" t="s">
        <v>33</v>
      </c>
      <c r="B216">
        <v>2018</v>
      </c>
      <c r="C216" t="s">
        <v>55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 t="s">
        <v>115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hidden="1" x14ac:dyDescent="0.25">
      <c r="A217" t="s">
        <v>35</v>
      </c>
      <c r="B217">
        <v>2018</v>
      </c>
      <c r="C217" t="s">
        <v>55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 t="s">
        <v>115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hidden="1" x14ac:dyDescent="0.2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hidden="1" x14ac:dyDescent="0.2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 t="s">
        <v>116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hidden="1" x14ac:dyDescent="0.25">
      <c r="A220" t="s">
        <v>35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 t="s">
        <v>116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hidden="1" x14ac:dyDescent="0.25">
      <c r="A221" t="s">
        <v>30</v>
      </c>
      <c r="B221">
        <v>2019</v>
      </c>
      <c r="C221" t="s">
        <v>36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hidden="1" x14ac:dyDescent="0.25">
      <c r="A222" t="s">
        <v>33</v>
      </c>
      <c r="B222">
        <v>2019</v>
      </c>
      <c r="C222" t="s">
        <v>36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 t="s">
        <v>117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hidden="1" x14ac:dyDescent="0.25">
      <c r="A223" t="s">
        <v>35</v>
      </c>
      <c r="B223">
        <v>2019</v>
      </c>
      <c r="C223" t="s">
        <v>36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 t="s">
        <v>117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hidden="1" x14ac:dyDescent="0.25">
      <c r="A224" t="s">
        <v>30</v>
      </c>
      <c r="B224">
        <v>2019</v>
      </c>
      <c r="C224" t="s">
        <v>38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hidden="1" x14ac:dyDescent="0.25">
      <c r="A225" t="s">
        <v>33</v>
      </c>
      <c r="B225">
        <v>2019</v>
      </c>
      <c r="C225" t="s">
        <v>38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 t="s">
        <v>118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hidden="1" x14ac:dyDescent="0.25">
      <c r="A226" t="s">
        <v>35</v>
      </c>
      <c r="B226">
        <v>2019</v>
      </c>
      <c r="C226" t="s">
        <v>38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 t="s">
        <v>118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hidden="1" x14ac:dyDescent="0.25">
      <c r="A227" t="s">
        <v>30</v>
      </c>
      <c r="B227">
        <v>2019</v>
      </c>
      <c r="C227" t="s">
        <v>41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hidden="1" x14ac:dyDescent="0.25">
      <c r="A228" t="s">
        <v>33</v>
      </c>
      <c r="B228">
        <v>2019</v>
      </c>
      <c r="C228" t="s">
        <v>41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 t="s">
        <v>119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hidden="1" x14ac:dyDescent="0.25">
      <c r="A229" t="s">
        <v>35</v>
      </c>
      <c r="B229">
        <v>2019</v>
      </c>
      <c r="C229" t="s">
        <v>41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 t="s">
        <v>119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hidden="1" x14ac:dyDescent="0.25">
      <c r="A230" t="s">
        <v>30</v>
      </c>
      <c r="B230">
        <v>2019</v>
      </c>
      <c r="C230" t="s">
        <v>42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hidden="1" x14ac:dyDescent="0.25">
      <c r="A231" t="s">
        <v>33</v>
      </c>
      <c r="B231">
        <v>2019</v>
      </c>
      <c r="C231" t="s">
        <v>42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 t="s">
        <v>120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hidden="1" x14ac:dyDescent="0.25">
      <c r="A232" t="s">
        <v>35</v>
      </c>
      <c r="B232">
        <v>2019</v>
      </c>
      <c r="C232" t="s">
        <v>42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 t="s">
        <v>120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hidden="1" x14ac:dyDescent="0.25">
      <c r="A233" t="s">
        <v>30</v>
      </c>
      <c r="B233">
        <v>2019</v>
      </c>
      <c r="C233" t="s">
        <v>44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hidden="1" x14ac:dyDescent="0.25">
      <c r="A234" t="s">
        <v>33</v>
      </c>
      <c r="B234">
        <v>2019</v>
      </c>
      <c r="C234" t="s">
        <v>44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 t="s">
        <v>121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hidden="1" x14ac:dyDescent="0.25">
      <c r="A235" t="s">
        <v>35</v>
      </c>
      <c r="B235">
        <v>2019</v>
      </c>
      <c r="C235" t="s">
        <v>44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 t="s">
        <v>121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hidden="1" x14ac:dyDescent="0.25">
      <c r="A236" t="s">
        <v>30</v>
      </c>
      <c r="B236">
        <v>2019</v>
      </c>
      <c r="C236" t="s">
        <v>46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hidden="1" x14ac:dyDescent="0.25">
      <c r="A237" t="s">
        <v>33</v>
      </c>
      <c r="B237">
        <v>2019</v>
      </c>
      <c r="C237" t="s">
        <v>46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 t="s">
        <v>122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hidden="1" x14ac:dyDescent="0.25">
      <c r="A238" t="s">
        <v>35</v>
      </c>
      <c r="B238">
        <v>2019</v>
      </c>
      <c r="C238" t="s">
        <v>46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 t="s">
        <v>122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hidden="1" x14ac:dyDescent="0.25">
      <c r="A239" t="s">
        <v>30</v>
      </c>
      <c r="B239">
        <v>2019</v>
      </c>
      <c r="C239" t="s">
        <v>48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hidden="1" x14ac:dyDescent="0.25">
      <c r="A240" t="s">
        <v>33</v>
      </c>
      <c r="B240">
        <v>2019</v>
      </c>
      <c r="C240" t="s">
        <v>48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 t="s">
        <v>123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hidden="1" x14ac:dyDescent="0.25">
      <c r="A241" t="s">
        <v>35</v>
      </c>
      <c r="B241">
        <v>2019</v>
      </c>
      <c r="C241" t="s">
        <v>48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 t="s">
        <v>123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hidden="1" x14ac:dyDescent="0.25">
      <c r="A242" t="s">
        <v>30</v>
      </c>
      <c r="B242">
        <v>2019</v>
      </c>
      <c r="C242" t="s">
        <v>50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hidden="1" x14ac:dyDescent="0.25">
      <c r="A243" t="s">
        <v>33</v>
      </c>
      <c r="B243">
        <v>2019</v>
      </c>
      <c r="C243" t="s">
        <v>50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 t="s">
        <v>124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hidden="1" x14ac:dyDescent="0.25">
      <c r="A244" t="s">
        <v>35</v>
      </c>
      <c r="B244">
        <v>2019</v>
      </c>
      <c r="C244" t="s">
        <v>50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 t="s">
        <v>124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hidden="1" x14ac:dyDescent="0.25">
      <c r="A245" t="s">
        <v>30</v>
      </c>
      <c r="B245">
        <v>2019</v>
      </c>
      <c r="C245" t="s">
        <v>53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hidden="1" x14ac:dyDescent="0.25">
      <c r="A246" t="s">
        <v>33</v>
      </c>
      <c r="B246">
        <v>2019</v>
      </c>
      <c r="C246" t="s">
        <v>53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 t="s">
        <v>125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hidden="1" x14ac:dyDescent="0.25">
      <c r="A247" t="s">
        <v>35</v>
      </c>
      <c r="B247">
        <v>2019</v>
      </c>
      <c r="C247" t="s">
        <v>53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 t="s">
        <v>125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hidden="1" x14ac:dyDescent="0.25">
      <c r="A248" t="s">
        <v>30</v>
      </c>
      <c r="B248">
        <v>2019</v>
      </c>
      <c r="C248" t="s">
        <v>55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hidden="1" x14ac:dyDescent="0.25">
      <c r="A249" t="s">
        <v>33</v>
      </c>
      <c r="B249">
        <v>2019</v>
      </c>
      <c r="C249" t="s">
        <v>55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 t="s">
        <v>126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hidden="1" x14ac:dyDescent="0.25">
      <c r="A250" t="s">
        <v>35</v>
      </c>
      <c r="B250">
        <v>2019</v>
      </c>
      <c r="C250" t="s">
        <v>55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 t="s">
        <v>126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hidden="1" x14ac:dyDescent="0.2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hidden="1" x14ac:dyDescent="0.25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 t="s">
        <v>127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hidden="1" x14ac:dyDescent="0.25">
      <c r="A253" t="s">
        <v>35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 t="s">
        <v>127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hidden="1" x14ac:dyDescent="0.25">
      <c r="A254" t="s">
        <v>30</v>
      </c>
      <c r="B254">
        <v>2020</v>
      </c>
      <c r="C254" t="s">
        <v>36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hidden="1" x14ac:dyDescent="0.25">
      <c r="A255" t="s">
        <v>33</v>
      </c>
      <c r="B255">
        <v>2020</v>
      </c>
      <c r="C255" t="s">
        <v>36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 t="s">
        <v>128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hidden="1" x14ac:dyDescent="0.25">
      <c r="A256" t="s">
        <v>35</v>
      </c>
      <c r="B256">
        <v>2020</v>
      </c>
      <c r="C256" t="s">
        <v>36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 t="s">
        <v>128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hidden="1" x14ac:dyDescent="0.25">
      <c r="A257" t="s">
        <v>30</v>
      </c>
      <c r="B257">
        <v>2020</v>
      </c>
      <c r="C257" t="s">
        <v>38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hidden="1" x14ac:dyDescent="0.25">
      <c r="A258" t="s">
        <v>33</v>
      </c>
      <c r="B258">
        <v>2020</v>
      </c>
      <c r="C258" t="s">
        <v>38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 t="s">
        <v>129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hidden="1" x14ac:dyDescent="0.25">
      <c r="A259" t="s">
        <v>35</v>
      </c>
      <c r="B259">
        <v>2020</v>
      </c>
      <c r="C259" t="s">
        <v>38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 t="s">
        <v>129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hidden="1" x14ac:dyDescent="0.25">
      <c r="A260" t="s">
        <v>30</v>
      </c>
      <c r="B260">
        <v>2020</v>
      </c>
      <c r="C260" t="s">
        <v>42</v>
      </c>
      <c r="D260">
        <v>148.19999999999999</v>
      </c>
      <c r="E260">
        <v>190.3</v>
      </c>
      <c r="F260">
        <v>149.4</v>
      </c>
      <c r="G260">
        <v>153.30000000000001</v>
      </c>
      <c r="H260">
        <v>138.19999999999999</v>
      </c>
      <c r="I260">
        <v>143.19999999999999</v>
      </c>
      <c r="J260">
        <v>148.9</v>
      </c>
      <c r="K260">
        <v>150.30000000000001</v>
      </c>
      <c r="L260">
        <v>113.2</v>
      </c>
      <c r="M260">
        <v>159.80000000000001</v>
      </c>
      <c r="N260">
        <v>142.1</v>
      </c>
      <c r="O260">
        <v>161.80000000000001</v>
      </c>
      <c r="P260">
        <v>152.30000000000001</v>
      </c>
      <c r="Q260">
        <v>182.4</v>
      </c>
      <c r="R260">
        <v>154.69999999999999</v>
      </c>
      <c r="S260">
        <v>150</v>
      </c>
      <c r="T260">
        <v>154.1</v>
      </c>
      <c r="U260" t="s">
        <v>32</v>
      </c>
      <c r="V260">
        <v>144.9</v>
      </c>
      <c r="W260">
        <v>151.69999999999999</v>
      </c>
      <c r="X260">
        <v>158.19999999999999</v>
      </c>
      <c r="Y260">
        <v>141.4</v>
      </c>
      <c r="Z260">
        <v>153.19999999999999</v>
      </c>
      <c r="AA260">
        <v>161.80000000000001</v>
      </c>
      <c r="AB260">
        <v>151.19999999999999</v>
      </c>
      <c r="AC260">
        <v>151.69999999999999</v>
      </c>
      <c r="AD260">
        <v>152.69999999999999</v>
      </c>
    </row>
    <row r="261" spans="1:30" hidden="1" x14ac:dyDescent="0.25">
      <c r="A261" t="s">
        <v>33</v>
      </c>
      <c r="B261">
        <v>2020</v>
      </c>
      <c r="C261" t="s">
        <v>42</v>
      </c>
      <c r="D261">
        <v>152.69999999999999</v>
      </c>
      <c r="E261">
        <v>197</v>
      </c>
      <c r="F261">
        <v>154.6</v>
      </c>
      <c r="G261">
        <v>153.4</v>
      </c>
      <c r="H261">
        <v>132.9</v>
      </c>
      <c r="I261">
        <v>151.80000000000001</v>
      </c>
      <c r="J261">
        <v>171.2</v>
      </c>
      <c r="K261">
        <v>152</v>
      </c>
      <c r="L261">
        <v>116.3</v>
      </c>
      <c r="M261">
        <v>158.80000000000001</v>
      </c>
      <c r="N261">
        <v>135.6</v>
      </c>
      <c r="O261">
        <v>161.69999999999999</v>
      </c>
      <c r="P261">
        <v>157</v>
      </c>
      <c r="Q261">
        <v>186.7</v>
      </c>
      <c r="R261">
        <v>149.1</v>
      </c>
      <c r="S261">
        <v>136.6</v>
      </c>
      <c r="T261">
        <v>147.19999999999999</v>
      </c>
      <c r="U261" t="s">
        <v>131</v>
      </c>
      <c r="V261">
        <v>137.1</v>
      </c>
      <c r="W261">
        <v>140.4</v>
      </c>
      <c r="X261">
        <v>148.1</v>
      </c>
      <c r="Y261">
        <v>129.30000000000001</v>
      </c>
      <c r="Z261">
        <v>144.5</v>
      </c>
      <c r="AA261">
        <v>152.5</v>
      </c>
      <c r="AB261">
        <v>152.19999999999999</v>
      </c>
      <c r="AC261">
        <v>142</v>
      </c>
      <c r="AD261">
        <v>150.80000000000001</v>
      </c>
    </row>
    <row r="262" spans="1:30" hidden="1" x14ac:dyDescent="0.25">
      <c r="A262" t="s">
        <v>35</v>
      </c>
      <c r="B262">
        <v>2020</v>
      </c>
      <c r="C262" t="s">
        <v>42</v>
      </c>
      <c r="D262">
        <v>149.6</v>
      </c>
      <c r="E262">
        <v>192.7</v>
      </c>
      <c r="F262">
        <v>151.4</v>
      </c>
      <c r="G262">
        <v>153.30000000000001</v>
      </c>
      <c r="H262">
        <v>136.30000000000001</v>
      </c>
      <c r="I262">
        <v>147.19999999999999</v>
      </c>
      <c r="J262">
        <v>156.5</v>
      </c>
      <c r="K262">
        <v>150.9</v>
      </c>
      <c r="L262">
        <v>114.2</v>
      </c>
      <c r="M262">
        <v>159.5</v>
      </c>
      <c r="N262">
        <v>139.4</v>
      </c>
      <c r="O262">
        <v>161.80000000000001</v>
      </c>
      <c r="P262">
        <v>154</v>
      </c>
      <c r="Q262">
        <v>183.5</v>
      </c>
      <c r="R262">
        <v>152.5</v>
      </c>
      <c r="S262">
        <v>144.4</v>
      </c>
      <c r="T262">
        <v>151.4</v>
      </c>
      <c r="U262" t="s">
        <v>131</v>
      </c>
      <c r="V262">
        <v>141.9</v>
      </c>
      <c r="W262">
        <v>146.4</v>
      </c>
      <c r="X262">
        <v>154.4</v>
      </c>
      <c r="Y262">
        <v>135</v>
      </c>
      <c r="Z262">
        <v>148.30000000000001</v>
      </c>
      <c r="AA262">
        <v>156.4</v>
      </c>
      <c r="AB262">
        <v>151.6</v>
      </c>
      <c r="AC262">
        <v>147</v>
      </c>
      <c r="AD262">
        <v>151.80000000000001</v>
      </c>
    </row>
    <row r="263" spans="1:30" hidden="1" x14ac:dyDescent="0.25">
      <c r="A263" t="s">
        <v>30</v>
      </c>
      <c r="B263">
        <v>2020</v>
      </c>
      <c r="C263" t="s">
        <v>44</v>
      </c>
      <c r="D263">
        <v>148.19999999999999</v>
      </c>
      <c r="E263">
        <v>190.3</v>
      </c>
      <c r="F263">
        <v>149.4</v>
      </c>
      <c r="G263">
        <v>153.30000000000001</v>
      </c>
      <c r="H263">
        <v>138.19999999999999</v>
      </c>
      <c r="I263">
        <v>143.19999999999999</v>
      </c>
      <c r="J263">
        <v>148.9</v>
      </c>
      <c r="K263">
        <v>150.30000000000001</v>
      </c>
      <c r="L263">
        <v>113.2</v>
      </c>
      <c r="M263">
        <v>159.80000000000001</v>
      </c>
      <c r="N263">
        <v>142.1</v>
      </c>
      <c r="O263">
        <v>161.80000000000001</v>
      </c>
      <c r="P263">
        <v>152.30000000000001</v>
      </c>
      <c r="Q263">
        <v>182.4</v>
      </c>
      <c r="R263">
        <v>154.69999999999999</v>
      </c>
      <c r="S263">
        <v>150</v>
      </c>
      <c r="T263">
        <v>154.1</v>
      </c>
      <c r="U263" t="s">
        <v>32</v>
      </c>
      <c r="V263">
        <v>144.9</v>
      </c>
      <c r="W263">
        <v>151.69999999999999</v>
      </c>
      <c r="X263">
        <v>158.19999999999999</v>
      </c>
      <c r="Y263">
        <v>141.4</v>
      </c>
      <c r="Z263">
        <v>153.19999999999999</v>
      </c>
      <c r="AA263">
        <v>161.80000000000001</v>
      </c>
      <c r="AB263">
        <v>151.19999999999999</v>
      </c>
      <c r="AC263">
        <v>151.69999999999999</v>
      </c>
      <c r="AD263">
        <v>152.69999999999999</v>
      </c>
    </row>
    <row r="264" spans="1:30" hidden="1" x14ac:dyDescent="0.25">
      <c r="A264" t="s">
        <v>33</v>
      </c>
      <c r="B264">
        <v>2020</v>
      </c>
      <c r="C264" t="s">
        <v>44</v>
      </c>
      <c r="D264">
        <v>152.69999999999999</v>
      </c>
      <c r="E264">
        <v>197</v>
      </c>
      <c r="F264">
        <v>154.6</v>
      </c>
      <c r="G264">
        <v>153.4</v>
      </c>
      <c r="H264">
        <v>132.9</v>
      </c>
      <c r="I264">
        <v>151.80000000000001</v>
      </c>
      <c r="J264">
        <v>171.2</v>
      </c>
      <c r="K264">
        <v>152</v>
      </c>
      <c r="L264">
        <v>116.3</v>
      </c>
      <c r="M264">
        <v>158.80000000000001</v>
      </c>
      <c r="N264">
        <v>135.6</v>
      </c>
      <c r="O264">
        <v>161.69999999999999</v>
      </c>
      <c r="P264">
        <v>157</v>
      </c>
      <c r="Q264">
        <v>186.7</v>
      </c>
      <c r="R264">
        <v>149.1</v>
      </c>
      <c r="S264">
        <v>136.6</v>
      </c>
      <c r="T264">
        <v>147.19999999999999</v>
      </c>
      <c r="U264" t="s">
        <v>131</v>
      </c>
      <c r="V264">
        <v>137.1</v>
      </c>
      <c r="W264">
        <v>140.4</v>
      </c>
      <c r="X264">
        <v>148.1</v>
      </c>
      <c r="Y264">
        <v>129.30000000000001</v>
      </c>
      <c r="Z264">
        <v>144.5</v>
      </c>
      <c r="AA264">
        <v>152.5</v>
      </c>
      <c r="AB264">
        <v>152.19999999999999</v>
      </c>
      <c r="AC264">
        <v>142</v>
      </c>
      <c r="AD264">
        <v>150.80000000000001</v>
      </c>
    </row>
    <row r="265" spans="1:30" hidden="1" x14ac:dyDescent="0.25">
      <c r="A265" t="s">
        <v>35</v>
      </c>
      <c r="B265">
        <v>2020</v>
      </c>
      <c r="C265" t="s">
        <v>44</v>
      </c>
      <c r="D265">
        <v>149.6</v>
      </c>
      <c r="E265">
        <v>192.7</v>
      </c>
      <c r="F265">
        <v>151.4</v>
      </c>
      <c r="G265">
        <v>153.30000000000001</v>
      </c>
      <c r="H265">
        <v>136.30000000000001</v>
      </c>
      <c r="I265">
        <v>147.19999999999999</v>
      </c>
      <c r="J265">
        <v>156.5</v>
      </c>
      <c r="K265">
        <v>150.9</v>
      </c>
      <c r="L265">
        <v>114.2</v>
      </c>
      <c r="M265">
        <v>159.5</v>
      </c>
      <c r="N265">
        <v>139.4</v>
      </c>
      <c r="O265">
        <v>161.80000000000001</v>
      </c>
      <c r="P265">
        <v>154</v>
      </c>
      <c r="Q265">
        <v>183.5</v>
      </c>
      <c r="R265">
        <v>152.5</v>
      </c>
      <c r="S265">
        <v>144.4</v>
      </c>
      <c r="T265">
        <v>151.4</v>
      </c>
      <c r="U265" t="s">
        <v>131</v>
      </c>
      <c r="V265">
        <v>141.9</v>
      </c>
      <c r="W265">
        <v>146.4</v>
      </c>
      <c r="X265">
        <v>154.4</v>
      </c>
      <c r="Y265">
        <v>135</v>
      </c>
      <c r="Z265">
        <v>148.30000000000001</v>
      </c>
      <c r="AA265">
        <v>156.4</v>
      </c>
      <c r="AB265">
        <v>151.6</v>
      </c>
      <c r="AC265">
        <v>147</v>
      </c>
      <c r="AD265">
        <v>151.80000000000001</v>
      </c>
    </row>
    <row r="266" spans="1:30" hidden="1" x14ac:dyDescent="0.25">
      <c r="A266" t="s">
        <v>30</v>
      </c>
      <c r="B266">
        <v>2020</v>
      </c>
      <c r="C266" t="s">
        <v>46</v>
      </c>
      <c r="D266">
        <v>147.6</v>
      </c>
      <c r="E266">
        <v>187.2</v>
      </c>
      <c r="F266">
        <v>148.4</v>
      </c>
      <c r="G266">
        <v>153.30000000000001</v>
      </c>
      <c r="H266">
        <v>139.80000000000001</v>
      </c>
      <c r="I266">
        <v>146.9</v>
      </c>
      <c r="J266">
        <v>171</v>
      </c>
      <c r="K266">
        <v>149.9</v>
      </c>
      <c r="L266">
        <v>114.2</v>
      </c>
      <c r="M266">
        <v>160</v>
      </c>
      <c r="N266">
        <v>143.5</v>
      </c>
      <c r="O266">
        <v>161.5</v>
      </c>
      <c r="P266">
        <v>155.30000000000001</v>
      </c>
      <c r="Q266">
        <v>180.9</v>
      </c>
      <c r="R266">
        <v>155.1</v>
      </c>
      <c r="S266">
        <v>149.30000000000001</v>
      </c>
      <c r="T266">
        <v>154.30000000000001</v>
      </c>
      <c r="U266" t="s">
        <v>32</v>
      </c>
      <c r="V266">
        <v>145.80000000000001</v>
      </c>
      <c r="W266">
        <v>151.9</v>
      </c>
      <c r="X266">
        <v>158.80000000000001</v>
      </c>
      <c r="Y266">
        <v>143.6</v>
      </c>
      <c r="Z266">
        <v>152.19999999999999</v>
      </c>
      <c r="AA266">
        <v>162.69999999999999</v>
      </c>
      <c r="AB266">
        <v>153.6</v>
      </c>
      <c r="AC266">
        <v>153</v>
      </c>
      <c r="AD266">
        <v>154.69999999999999</v>
      </c>
    </row>
    <row r="267" spans="1:30" hidden="1" x14ac:dyDescent="0.25">
      <c r="A267" t="s">
        <v>33</v>
      </c>
      <c r="B267">
        <v>2020</v>
      </c>
      <c r="C267" t="s">
        <v>46</v>
      </c>
      <c r="D267">
        <v>151.6</v>
      </c>
      <c r="E267">
        <v>197.8</v>
      </c>
      <c r="F267">
        <v>154.5</v>
      </c>
      <c r="G267">
        <v>153.4</v>
      </c>
      <c r="H267">
        <v>133.4</v>
      </c>
      <c r="I267">
        <v>154.5</v>
      </c>
      <c r="J267">
        <v>191.9</v>
      </c>
      <c r="K267">
        <v>151.30000000000001</v>
      </c>
      <c r="L267">
        <v>116.8</v>
      </c>
      <c r="M267">
        <v>160</v>
      </c>
      <c r="N267">
        <v>136.5</v>
      </c>
      <c r="O267">
        <v>163.30000000000001</v>
      </c>
      <c r="P267">
        <v>159.9</v>
      </c>
      <c r="Q267">
        <v>187.2</v>
      </c>
      <c r="R267">
        <v>150</v>
      </c>
      <c r="S267">
        <v>135.19999999999999</v>
      </c>
      <c r="T267">
        <v>147.80000000000001</v>
      </c>
      <c r="U267" t="s">
        <v>132</v>
      </c>
      <c r="V267">
        <v>138.30000000000001</v>
      </c>
      <c r="W267">
        <v>144.5</v>
      </c>
      <c r="X267">
        <v>148.69999999999999</v>
      </c>
      <c r="Y267">
        <v>133.9</v>
      </c>
      <c r="Z267">
        <v>141.19999999999999</v>
      </c>
      <c r="AA267">
        <v>155.5</v>
      </c>
      <c r="AB267">
        <v>155.19999999999999</v>
      </c>
      <c r="AC267">
        <v>144.80000000000001</v>
      </c>
      <c r="AD267">
        <v>152.9</v>
      </c>
    </row>
    <row r="268" spans="1:30" hidden="1" x14ac:dyDescent="0.25">
      <c r="A268" t="s">
        <v>35</v>
      </c>
      <c r="B268">
        <v>2020</v>
      </c>
      <c r="C268" t="s">
        <v>46</v>
      </c>
      <c r="D268">
        <v>148.9</v>
      </c>
      <c r="E268">
        <v>190.9</v>
      </c>
      <c r="F268">
        <v>150.80000000000001</v>
      </c>
      <c r="G268">
        <v>153.30000000000001</v>
      </c>
      <c r="H268">
        <v>137.4</v>
      </c>
      <c r="I268">
        <v>150.4</v>
      </c>
      <c r="J268">
        <v>178.1</v>
      </c>
      <c r="K268">
        <v>150.4</v>
      </c>
      <c r="L268">
        <v>115.1</v>
      </c>
      <c r="M268">
        <v>160</v>
      </c>
      <c r="N268">
        <v>140.6</v>
      </c>
      <c r="O268">
        <v>162.30000000000001</v>
      </c>
      <c r="P268">
        <v>157</v>
      </c>
      <c r="Q268">
        <v>182.6</v>
      </c>
      <c r="R268">
        <v>153.1</v>
      </c>
      <c r="S268">
        <v>143.4</v>
      </c>
      <c r="T268">
        <v>151.69999999999999</v>
      </c>
      <c r="U268" t="s">
        <v>132</v>
      </c>
      <c r="V268">
        <v>143</v>
      </c>
      <c r="W268">
        <v>148.4</v>
      </c>
      <c r="X268">
        <v>155</v>
      </c>
      <c r="Y268">
        <v>138.5</v>
      </c>
      <c r="Z268">
        <v>146</v>
      </c>
      <c r="AA268">
        <v>158.5</v>
      </c>
      <c r="AB268">
        <v>154.30000000000001</v>
      </c>
      <c r="AC268">
        <v>149</v>
      </c>
      <c r="AD268">
        <v>153.9</v>
      </c>
    </row>
    <row r="269" spans="1:30" hidden="1" x14ac:dyDescent="0.25">
      <c r="A269" t="s">
        <v>30</v>
      </c>
      <c r="B269">
        <v>2020</v>
      </c>
      <c r="C269" t="s">
        <v>48</v>
      </c>
      <c r="D269">
        <v>146.9</v>
      </c>
      <c r="E269">
        <v>183.9</v>
      </c>
      <c r="F269">
        <v>149.5</v>
      </c>
      <c r="G269">
        <v>153.4</v>
      </c>
      <c r="H269">
        <v>140.4</v>
      </c>
      <c r="I269">
        <v>147</v>
      </c>
      <c r="J269">
        <v>178.8</v>
      </c>
      <c r="K269">
        <v>149.30000000000001</v>
      </c>
      <c r="L269">
        <v>115.1</v>
      </c>
      <c r="M269">
        <v>160</v>
      </c>
      <c r="N269">
        <v>145.4</v>
      </c>
      <c r="O269">
        <v>161.6</v>
      </c>
      <c r="P269">
        <v>156.1</v>
      </c>
      <c r="Q269">
        <v>182.9</v>
      </c>
      <c r="R269">
        <v>155.4</v>
      </c>
      <c r="S269">
        <v>149.9</v>
      </c>
      <c r="T269">
        <v>154.6</v>
      </c>
      <c r="U269" t="s">
        <v>32</v>
      </c>
      <c r="V269">
        <v>146.4</v>
      </c>
      <c r="W269">
        <v>151.6</v>
      </c>
      <c r="X269">
        <v>159.1</v>
      </c>
      <c r="Y269">
        <v>144.6</v>
      </c>
      <c r="Z269">
        <v>152.80000000000001</v>
      </c>
      <c r="AA269">
        <v>161.1</v>
      </c>
      <c r="AB269">
        <v>157.4</v>
      </c>
      <c r="AC269">
        <v>153.69999999999999</v>
      </c>
      <c r="AD269">
        <v>155.4</v>
      </c>
    </row>
    <row r="270" spans="1:30" hidden="1" x14ac:dyDescent="0.25">
      <c r="A270" t="s">
        <v>33</v>
      </c>
      <c r="B270">
        <v>2020</v>
      </c>
      <c r="C270" t="s">
        <v>48</v>
      </c>
      <c r="D270">
        <v>151.5</v>
      </c>
      <c r="E270">
        <v>193.1</v>
      </c>
      <c r="F270">
        <v>157.30000000000001</v>
      </c>
      <c r="G270">
        <v>153.9</v>
      </c>
      <c r="H270">
        <v>134.4</v>
      </c>
      <c r="I270">
        <v>155.4</v>
      </c>
      <c r="J270">
        <v>202</v>
      </c>
      <c r="K270">
        <v>150.80000000000001</v>
      </c>
      <c r="L270">
        <v>118.9</v>
      </c>
      <c r="M270">
        <v>160.9</v>
      </c>
      <c r="N270">
        <v>137.69999999999999</v>
      </c>
      <c r="O270">
        <v>164.4</v>
      </c>
      <c r="P270">
        <v>161.30000000000001</v>
      </c>
      <c r="Q270">
        <v>188.7</v>
      </c>
      <c r="R270">
        <v>150.19999999999999</v>
      </c>
      <c r="S270">
        <v>136.30000000000001</v>
      </c>
      <c r="T270">
        <v>148.1</v>
      </c>
      <c r="U270" t="s">
        <v>133</v>
      </c>
      <c r="V270">
        <v>137.19999999999999</v>
      </c>
      <c r="W270">
        <v>145.4</v>
      </c>
      <c r="X270">
        <v>150</v>
      </c>
      <c r="Y270">
        <v>135.1</v>
      </c>
      <c r="Z270">
        <v>141.80000000000001</v>
      </c>
      <c r="AA270">
        <v>154.9</v>
      </c>
      <c r="AB270">
        <v>159.80000000000001</v>
      </c>
      <c r="AC270">
        <v>146</v>
      </c>
      <c r="AD270">
        <v>154</v>
      </c>
    </row>
    <row r="271" spans="1:30" hidden="1" x14ac:dyDescent="0.25">
      <c r="A271" t="s">
        <v>35</v>
      </c>
      <c r="B271">
        <v>2020</v>
      </c>
      <c r="C271" t="s">
        <v>48</v>
      </c>
      <c r="D271">
        <v>148.4</v>
      </c>
      <c r="E271">
        <v>187.1</v>
      </c>
      <c r="F271">
        <v>152.5</v>
      </c>
      <c r="G271">
        <v>153.6</v>
      </c>
      <c r="H271">
        <v>138.19999999999999</v>
      </c>
      <c r="I271">
        <v>150.9</v>
      </c>
      <c r="J271">
        <v>186.7</v>
      </c>
      <c r="K271">
        <v>149.80000000000001</v>
      </c>
      <c r="L271">
        <v>116.4</v>
      </c>
      <c r="M271">
        <v>160.30000000000001</v>
      </c>
      <c r="N271">
        <v>142.19999999999999</v>
      </c>
      <c r="O271">
        <v>162.9</v>
      </c>
      <c r="P271">
        <v>158</v>
      </c>
      <c r="Q271">
        <v>184.4</v>
      </c>
      <c r="R271">
        <v>153.4</v>
      </c>
      <c r="S271">
        <v>144.30000000000001</v>
      </c>
      <c r="T271">
        <v>152</v>
      </c>
      <c r="U271" t="s">
        <v>133</v>
      </c>
      <c r="V271">
        <v>142.9</v>
      </c>
      <c r="W271">
        <v>148.69999999999999</v>
      </c>
      <c r="X271">
        <v>155.6</v>
      </c>
      <c r="Y271">
        <v>139.6</v>
      </c>
      <c r="Z271">
        <v>146.6</v>
      </c>
      <c r="AA271">
        <v>157.5</v>
      </c>
      <c r="AB271">
        <v>158.4</v>
      </c>
      <c r="AC271">
        <v>150</v>
      </c>
      <c r="AD271">
        <v>154.69999999999999</v>
      </c>
    </row>
    <row r="272" spans="1:30" hidden="1" x14ac:dyDescent="0.25">
      <c r="A272" t="s">
        <v>30</v>
      </c>
      <c r="B272">
        <v>2020</v>
      </c>
      <c r="C272" t="s">
        <v>50</v>
      </c>
      <c r="D272">
        <v>146</v>
      </c>
      <c r="E272">
        <v>186.3</v>
      </c>
      <c r="F272">
        <v>159.19999999999999</v>
      </c>
      <c r="G272">
        <v>153.6</v>
      </c>
      <c r="H272">
        <v>142.6</v>
      </c>
      <c r="I272">
        <v>147.19999999999999</v>
      </c>
      <c r="J272">
        <v>200.6</v>
      </c>
      <c r="K272">
        <v>150.30000000000001</v>
      </c>
      <c r="L272">
        <v>115.3</v>
      </c>
      <c r="M272">
        <v>160.9</v>
      </c>
      <c r="N272">
        <v>147.4</v>
      </c>
      <c r="O272">
        <v>161.9</v>
      </c>
      <c r="P272">
        <v>159.6</v>
      </c>
      <c r="Q272">
        <v>182.7</v>
      </c>
      <c r="R272">
        <v>155.69999999999999</v>
      </c>
      <c r="S272">
        <v>150.6</v>
      </c>
      <c r="T272">
        <v>155</v>
      </c>
      <c r="U272" t="s">
        <v>32</v>
      </c>
      <c r="V272">
        <v>146.80000000000001</v>
      </c>
      <c r="W272">
        <v>152</v>
      </c>
      <c r="X272">
        <v>159.5</v>
      </c>
      <c r="Y272">
        <v>146.4</v>
      </c>
      <c r="Z272">
        <v>152.4</v>
      </c>
      <c r="AA272">
        <v>162.5</v>
      </c>
      <c r="AB272">
        <v>156.19999999999999</v>
      </c>
      <c r="AC272">
        <v>154.30000000000001</v>
      </c>
      <c r="AD272">
        <v>157.5</v>
      </c>
    </row>
    <row r="273" spans="1:30" hidden="1" x14ac:dyDescent="0.25">
      <c r="A273" t="s">
        <v>33</v>
      </c>
      <c r="B273">
        <v>2020</v>
      </c>
      <c r="C273" t="s">
        <v>50</v>
      </c>
      <c r="D273">
        <v>150.6</v>
      </c>
      <c r="E273">
        <v>193.7</v>
      </c>
      <c r="F273">
        <v>164.8</v>
      </c>
      <c r="G273">
        <v>153.69999999999999</v>
      </c>
      <c r="H273">
        <v>135.69999999999999</v>
      </c>
      <c r="I273">
        <v>155.69999999999999</v>
      </c>
      <c r="J273">
        <v>226</v>
      </c>
      <c r="K273">
        <v>152.19999999999999</v>
      </c>
      <c r="L273">
        <v>118.1</v>
      </c>
      <c r="M273">
        <v>161.30000000000001</v>
      </c>
      <c r="N273">
        <v>139.19999999999999</v>
      </c>
      <c r="O273">
        <v>164.8</v>
      </c>
      <c r="P273">
        <v>164.4</v>
      </c>
      <c r="Q273">
        <v>188.7</v>
      </c>
      <c r="R273">
        <v>150.5</v>
      </c>
      <c r="S273">
        <v>136.1</v>
      </c>
      <c r="T273">
        <v>148.30000000000001</v>
      </c>
      <c r="U273" t="s">
        <v>134</v>
      </c>
      <c r="V273">
        <v>137.1</v>
      </c>
      <c r="W273">
        <v>145.1</v>
      </c>
      <c r="X273">
        <v>151</v>
      </c>
      <c r="Y273">
        <v>135.4</v>
      </c>
      <c r="Z273">
        <v>142</v>
      </c>
      <c r="AA273">
        <v>155.69999999999999</v>
      </c>
      <c r="AB273">
        <v>158.1</v>
      </c>
      <c r="AC273">
        <v>146.19999999999999</v>
      </c>
      <c r="AD273">
        <v>155.19999999999999</v>
      </c>
    </row>
    <row r="274" spans="1:30" hidden="1" x14ac:dyDescent="0.25">
      <c r="A274" t="s">
        <v>35</v>
      </c>
      <c r="B274">
        <v>2020</v>
      </c>
      <c r="C274" t="s">
        <v>50</v>
      </c>
      <c r="D274">
        <v>147.5</v>
      </c>
      <c r="E274">
        <v>188.9</v>
      </c>
      <c r="F274">
        <v>161.4</v>
      </c>
      <c r="G274">
        <v>153.6</v>
      </c>
      <c r="H274">
        <v>140.1</v>
      </c>
      <c r="I274">
        <v>151.19999999999999</v>
      </c>
      <c r="J274">
        <v>209.2</v>
      </c>
      <c r="K274">
        <v>150.9</v>
      </c>
      <c r="L274">
        <v>116.2</v>
      </c>
      <c r="M274">
        <v>161</v>
      </c>
      <c r="N274">
        <v>144</v>
      </c>
      <c r="O274">
        <v>163.19999999999999</v>
      </c>
      <c r="P274">
        <v>161.4</v>
      </c>
      <c r="Q274">
        <v>184.3</v>
      </c>
      <c r="R274">
        <v>153.69999999999999</v>
      </c>
      <c r="S274">
        <v>144.6</v>
      </c>
      <c r="T274">
        <v>152.30000000000001</v>
      </c>
      <c r="U274" t="s">
        <v>134</v>
      </c>
      <c r="V274">
        <v>143.1</v>
      </c>
      <c r="W274">
        <v>148.69999999999999</v>
      </c>
      <c r="X274">
        <v>156.30000000000001</v>
      </c>
      <c r="Y274">
        <v>140.6</v>
      </c>
      <c r="Z274">
        <v>146.5</v>
      </c>
      <c r="AA274">
        <v>158.5</v>
      </c>
      <c r="AB274">
        <v>157</v>
      </c>
      <c r="AC274">
        <v>150.4</v>
      </c>
      <c r="AD274">
        <v>156.4</v>
      </c>
    </row>
    <row r="275" spans="1:30" hidden="1" x14ac:dyDescent="0.25">
      <c r="A275" t="s">
        <v>30</v>
      </c>
      <c r="B275">
        <v>2020</v>
      </c>
      <c r="C275" t="s">
        <v>53</v>
      </c>
      <c r="D275">
        <v>145.4</v>
      </c>
      <c r="E275">
        <v>188.6</v>
      </c>
      <c r="F275">
        <v>171.6</v>
      </c>
      <c r="G275">
        <v>153.80000000000001</v>
      </c>
      <c r="H275">
        <v>145.4</v>
      </c>
      <c r="I275">
        <v>146.5</v>
      </c>
      <c r="J275">
        <v>222.2</v>
      </c>
      <c r="K275">
        <v>155.9</v>
      </c>
      <c r="L275">
        <v>114.9</v>
      </c>
      <c r="M275">
        <v>162</v>
      </c>
      <c r="N275">
        <v>150</v>
      </c>
      <c r="O275">
        <v>162.69999999999999</v>
      </c>
      <c r="P275">
        <v>163.4</v>
      </c>
      <c r="Q275">
        <v>183.4</v>
      </c>
      <c r="R275">
        <v>156.30000000000001</v>
      </c>
      <c r="S275">
        <v>151</v>
      </c>
      <c r="T275">
        <v>155.5</v>
      </c>
      <c r="U275" t="s">
        <v>32</v>
      </c>
      <c r="V275">
        <v>147.5</v>
      </c>
      <c r="W275">
        <v>152.80000000000001</v>
      </c>
      <c r="X275">
        <v>160.4</v>
      </c>
      <c r="Y275">
        <v>146.1</v>
      </c>
      <c r="Z275">
        <v>153.6</v>
      </c>
      <c r="AA275">
        <v>161.6</v>
      </c>
      <c r="AB275">
        <v>156.19999999999999</v>
      </c>
      <c r="AC275">
        <v>154.5</v>
      </c>
      <c r="AD275">
        <v>159.80000000000001</v>
      </c>
    </row>
    <row r="276" spans="1:30" hidden="1" x14ac:dyDescent="0.25">
      <c r="A276" t="s">
        <v>33</v>
      </c>
      <c r="B276">
        <v>2020</v>
      </c>
      <c r="C276" t="s">
        <v>53</v>
      </c>
      <c r="D276">
        <v>149.69999999999999</v>
      </c>
      <c r="E276">
        <v>195.5</v>
      </c>
      <c r="F276">
        <v>176.9</v>
      </c>
      <c r="G276">
        <v>153.9</v>
      </c>
      <c r="H276">
        <v>138</v>
      </c>
      <c r="I276">
        <v>150.5</v>
      </c>
      <c r="J276">
        <v>245.3</v>
      </c>
      <c r="K276">
        <v>158.69999999999999</v>
      </c>
      <c r="L276">
        <v>117.2</v>
      </c>
      <c r="M276">
        <v>161.4</v>
      </c>
      <c r="N276">
        <v>141.5</v>
      </c>
      <c r="O276">
        <v>165.1</v>
      </c>
      <c r="P276">
        <v>167</v>
      </c>
      <c r="Q276">
        <v>188.8</v>
      </c>
      <c r="R276">
        <v>151.1</v>
      </c>
      <c r="S276">
        <v>136.4</v>
      </c>
      <c r="T276">
        <v>148.80000000000001</v>
      </c>
      <c r="U276" t="s">
        <v>135</v>
      </c>
      <c r="V276">
        <v>137.30000000000001</v>
      </c>
      <c r="W276">
        <v>145.1</v>
      </c>
      <c r="X276">
        <v>152</v>
      </c>
      <c r="Y276">
        <v>135.19999999999999</v>
      </c>
      <c r="Z276">
        <v>144.4</v>
      </c>
      <c r="AA276">
        <v>156.4</v>
      </c>
      <c r="AB276">
        <v>157.9</v>
      </c>
      <c r="AC276">
        <v>146.6</v>
      </c>
      <c r="AD276">
        <v>156.69999999999999</v>
      </c>
    </row>
    <row r="277" spans="1:30" hidden="1" x14ac:dyDescent="0.25">
      <c r="A277" t="s">
        <v>35</v>
      </c>
      <c r="B277">
        <v>2020</v>
      </c>
      <c r="C277" t="s">
        <v>53</v>
      </c>
      <c r="D277">
        <v>146.80000000000001</v>
      </c>
      <c r="E277">
        <v>191</v>
      </c>
      <c r="F277">
        <v>173.6</v>
      </c>
      <c r="G277">
        <v>153.80000000000001</v>
      </c>
      <c r="H277">
        <v>142.69999999999999</v>
      </c>
      <c r="I277">
        <v>148.4</v>
      </c>
      <c r="J277">
        <v>230</v>
      </c>
      <c r="K277">
        <v>156.80000000000001</v>
      </c>
      <c r="L277">
        <v>115.7</v>
      </c>
      <c r="M277">
        <v>161.80000000000001</v>
      </c>
      <c r="N277">
        <v>146.5</v>
      </c>
      <c r="O277">
        <v>163.80000000000001</v>
      </c>
      <c r="P277">
        <v>164.7</v>
      </c>
      <c r="Q277">
        <v>184.8</v>
      </c>
      <c r="R277">
        <v>154.30000000000001</v>
      </c>
      <c r="S277">
        <v>144.9</v>
      </c>
      <c r="T277">
        <v>152.80000000000001</v>
      </c>
      <c r="U277" t="s">
        <v>135</v>
      </c>
      <c r="V277">
        <v>143.6</v>
      </c>
      <c r="W277">
        <v>149.19999999999999</v>
      </c>
      <c r="X277">
        <v>157.19999999999999</v>
      </c>
      <c r="Y277">
        <v>140.4</v>
      </c>
      <c r="Z277">
        <v>148.4</v>
      </c>
      <c r="AA277">
        <v>158.6</v>
      </c>
      <c r="AB277">
        <v>156.9</v>
      </c>
      <c r="AC277">
        <v>150.69999999999999</v>
      </c>
      <c r="AD277">
        <v>158.4</v>
      </c>
    </row>
    <row r="278" spans="1:30" hidden="1" x14ac:dyDescent="0.25">
      <c r="A278" t="s">
        <v>30</v>
      </c>
      <c r="B278">
        <v>2020</v>
      </c>
      <c r="C278" t="s">
        <v>55</v>
      </c>
      <c r="D278">
        <v>144.6</v>
      </c>
      <c r="E278">
        <v>188.5</v>
      </c>
      <c r="F278">
        <v>173.4</v>
      </c>
      <c r="G278">
        <v>154</v>
      </c>
      <c r="H278">
        <v>150</v>
      </c>
      <c r="I278">
        <v>145.9</v>
      </c>
      <c r="J278">
        <v>225.2</v>
      </c>
      <c r="K278">
        <v>159.5</v>
      </c>
      <c r="L278">
        <v>114.4</v>
      </c>
      <c r="M278">
        <v>163.5</v>
      </c>
      <c r="N278">
        <v>153.4</v>
      </c>
      <c r="O278">
        <v>163.6</v>
      </c>
      <c r="P278">
        <v>164.5</v>
      </c>
      <c r="Q278">
        <v>183.6</v>
      </c>
      <c r="R278">
        <v>157</v>
      </c>
      <c r="S278">
        <v>151.6</v>
      </c>
      <c r="T278">
        <v>156.30000000000001</v>
      </c>
      <c r="U278" t="s">
        <v>32</v>
      </c>
      <c r="V278">
        <v>148.69999999999999</v>
      </c>
      <c r="W278">
        <v>153.4</v>
      </c>
      <c r="X278">
        <v>161.6</v>
      </c>
      <c r="Y278">
        <v>146.4</v>
      </c>
      <c r="Z278">
        <v>153.9</v>
      </c>
      <c r="AA278">
        <v>162.9</v>
      </c>
      <c r="AB278">
        <v>156.6</v>
      </c>
      <c r="AC278">
        <v>155.19999999999999</v>
      </c>
      <c r="AD278">
        <v>160.69999999999999</v>
      </c>
    </row>
    <row r="279" spans="1:30" hidden="1" x14ac:dyDescent="0.25">
      <c r="A279" t="s">
        <v>33</v>
      </c>
      <c r="B279">
        <v>2020</v>
      </c>
      <c r="C279" t="s">
        <v>55</v>
      </c>
      <c r="D279">
        <v>149</v>
      </c>
      <c r="E279">
        <v>195.7</v>
      </c>
      <c r="F279">
        <v>178.3</v>
      </c>
      <c r="G279">
        <v>154.19999999999999</v>
      </c>
      <c r="H279">
        <v>140.69999999999999</v>
      </c>
      <c r="I279">
        <v>149.69999999999999</v>
      </c>
      <c r="J279">
        <v>240.9</v>
      </c>
      <c r="K279">
        <v>161.5</v>
      </c>
      <c r="L279">
        <v>117.1</v>
      </c>
      <c r="M279">
        <v>161.9</v>
      </c>
      <c r="N279">
        <v>143.30000000000001</v>
      </c>
      <c r="O279">
        <v>166.1</v>
      </c>
      <c r="P279">
        <v>167</v>
      </c>
      <c r="Q279">
        <v>190.2</v>
      </c>
      <c r="R279">
        <v>151.9</v>
      </c>
      <c r="S279">
        <v>136.69999999999999</v>
      </c>
      <c r="T279">
        <v>149.6</v>
      </c>
      <c r="U279" t="s">
        <v>136</v>
      </c>
      <c r="V279">
        <v>137.9</v>
      </c>
      <c r="W279">
        <v>145.5</v>
      </c>
      <c r="X279">
        <v>152.9</v>
      </c>
      <c r="Y279">
        <v>135.5</v>
      </c>
      <c r="Z279">
        <v>144.30000000000001</v>
      </c>
      <c r="AA279">
        <v>156.9</v>
      </c>
      <c r="AB279">
        <v>157.9</v>
      </c>
      <c r="AC279">
        <v>146.9</v>
      </c>
      <c r="AD279">
        <v>156.9</v>
      </c>
    </row>
    <row r="280" spans="1:30" hidden="1" x14ac:dyDescent="0.25">
      <c r="A280" t="s">
        <v>35</v>
      </c>
      <c r="B280">
        <v>2020</v>
      </c>
      <c r="C280" t="s">
        <v>55</v>
      </c>
      <c r="D280">
        <v>146</v>
      </c>
      <c r="E280">
        <v>191</v>
      </c>
      <c r="F280">
        <v>175.3</v>
      </c>
      <c r="G280">
        <v>154.1</v>
      </c>
      <c r="H280">
        <v>146.6</v>
      </c>
      <c r="I280">
        <v>147.69999999999999</v>
      </c>
      <c r="J280">
        <v>230.5</v>
      </c>
      <c r="K280">
        <v>160.19999999999999</v>
      </c>
      <c r="L280">
        <v>115.3</v>
      </c>
      <c r="M280">
        <v>163</v>
      </c>
      <c r="N280">
        <v>149.19999999999999</v>
      </c>
      <c r="O280">
        <v>164.8</v>
      </c>
      <c r="P280">
        <v>165.4</v>
      </c>
      <c r="Q280">
        <v>185.4</v>
      </c>
      <c r="R280">
        <v>155</v>
      </c>
      <c r="S280">
        <v>145.4</v>
      </c>
      <c r="T280">
        <v>153.6</v>
      </c>
      <c r="U280" t="s">
        <v>136</v>
      </c>
      <c r="V280">
        <v>144.6</v>
      </c>
      <c r="W280">
        <v>149.69999999999999</v>
      </c>
      <c r="X280">
        <v>158.30000000000001</v>
      </c>
      <c r="Y280">
        <v>140.69999999999999</v>
      </c>
      <c r="Z280">
        <v>148.5</v>
      </c>
      <c r="AA280">
        <v>159.4</v>
      </c>
      <c r="AB280">
        <v>157.1</v>
      </c>
      <c r="AC280">
        <v>151.19999999999999</v>
      </c>
      <c r="AD280">
        <v>158.9</v>
      </c>
    </row>
    <row r="281" spans="1:30" x14ac:dyDescent="0.25">
      <c r="A281" t="s">
        <v>30</v>
      </c>
      <c r="B281">
        <v>2021</v>
      </c>
      <c r="C281" t="s">
        <v>31</v>
      </c>
      <c r="D281">
        <v>143.4</v>
      </c>
      <c r="E281">
        <v>187.5</v>
      </c>
      <c r="F281">
        <v>173.4</v>
      </c>
      <c r="G281">
        <v>154</v>
      </c>
      <c r="H281">
        <v>154.80000000000001</v>
      </c>
      <c r="I281">
        <v>147</v>
      </c>
      <c r="J281">
        <v>187.8</v>
      </c>
      <c r="K281">
        <v>159.5</v>
      </c>
      <c r="L281">
        <v>113.8</v>
      </c>
      <c r="M281">
        <v>164.5</v>
      </c>
      <c r="N281">
        <v>156.1</v>
      </c>
      <c r="O281">
        <v>164.3</v>
      </c>
      <c r="P281">
        <v>159.6</v>
      </c>
      <c r="Q281">
        <v>184.6</v>
      </c>
      <c r="R281">
        <v>157.5</v>
      </c>
      <c r="S281">
        <v>152.4</v>
      </c>
      <c r="T281">
        <v>156.80000000000001</v>
      </c>
      <c r="U281" t="s">
        <v>32</v>
      </c>
      <c r="V281">
        <v>150.9</v>
      </c>
      <c r="W281">
        <v>153.9</v>
      </c>
      <c r="X281">
        <v>162.5</v>
      </c>
      <c r="Y281">
        <v>147.5</v>
      </c>
      <c r="Z281">
        <v>155.1</v>
      </c>
      <c r="AA281">
        <v>163.5</v>
      </c>
      <c r="AB281">
        <v>156.19999999999999</v>
      </c>
      <c r="AC281">
        <v>155.9</v>
      </c>
      <c r="AD281">
        <v>158.5</v>
      </c>
    </row>
    <row r="282" spans="1:30" x14ac:dyDescent="0.25">
      <c r="A282" t="s">
        <v>33</v>
      </c>
      <c r="B282">
        <v>2021</v>
      </c>
      <c r="C282" t="s">
        <v>31</v>
      </c>
      <c r="D282">
        <v>148</v>
      </c>
      <c r="E282">
        <v>194.8</v>
      </c>
      <c r="F282">
        <v>178.4</v>
      </c>
      <c r="G282">
        <v>154.4</v>
      </c>
      <c r="H282">
        <v>144.1</v>
      </c>
      <c r="I282">
        <v>152.6</v>
      </c>
      <c r="J282">
        <v>206.8</v>
      </c>
      <c r="K282">
        <v>162.1</v>
      </c>
      <c r="L282">
        <v>116.3</v>
      </c>
      <c r="M282">
        <v>163</v>
      </c>
      <c r="N282">
        <v>145.9</v>
      </c>
      <c r="O282">
        <v>167.2</v>
      </c>
      <c r="P282">
        <v>163.4</v>
      </c>
      <c r="Q282">
        <v>191.8</v>
      </c>
      <c r="R282">
        <v>152.5</v>
      </c>
      <c r="S282">
        <v>137.30000000000001</v>
      </c>
      <c r="T282">
        <v>150.19999999999999</v>
      </c>
      <c r="U282" t="s">
        <v>137</v>
      </c>
      <c r="V282">
        <v>142.9</v>
      </c>
      <c r="W282">
        <v>145.69999999999999</v>
      </c>
      <c r="X282">
        <v>154.1</v>
      </c>
      <c r="Y282">
        <v>136.9</v>
      </c>
      <c r="Z282">
        <v>145.4</v>
      </c>
      <c r="AA282">
        <v>156.1</v>
      </c>
      <c r="AB282">
        <v>157.69999999999999</v>
      </c>
      <c r="AC282">
        <v>147.6</v>
      </c>
      <c r="AD282">
        <v>156</v>
      </c>
    </row>
    <row r="283" spans="1:30" x14ac:dyDescent="0.25">
      <c r="A283" t="s">
        <v>35</v>
      </c>
      <c r="B283">
        <v>2021</v>
      </c>
      <c r="C283" t="s">
        <v>31</v>
      </c>
      <c r="D283">
        <v>144.9</v>
      </c>
      <c r="E283">
        <v>190.1</v>
      </c>
      <c r="F283">
        <v>175.3</v>
      </c>
      <c r="G283">
        <v>154.1</v>
      </c>
      <c r="H283">
        <v>150.9</v>
      </c>
      <c r="I283">
        <v>149.6</v>
      </c>
      <c r="J283">
        <v>194.2</v>
      </c>
      <c r="K283">
        <v>160.4</v>
      </c>
      <c r="L283">
        <v>114.6</v>
      </c>
      <c r="M283">
        <v>164</v>
      </c>
      <c r="N283">
        <v>151.80000000000001</v>
      </c>
      <c r="O283">
        <v>165.6</v>
      </c>
      <c r="P283">
        <v>161</v>
      </c>
      <c r="Q283">
        <v>186.5</v>
      </c>
      <c r="R283">
        <v>155.5</v>
      </c>
      <c r="S283">
        <v>146.1</v>
      </c>
      <c r="T283">
        <v>154.19999999999999</v>
      </c>
      <c r="U283" t="s">
        <v>137</v>
      </c>
      <c r="V283">
        <v>147.9</v>
      </c>
      <c r="W283">
        <v>150</v>
      </c>
      <c r="X283">
        <v>159.30000000000001</v>
      </c>
      <c r="Y283">
        <v>141.9</v>
      </c>
      <c r="Z283">
        <v>149.6</v>
      </c>
      <c r="AA283">
        <v>159.19999999999999</v>
      </c>
      <c r="AB283">
        <v>156.80000000000001</v>
      </c>
      <c r="AC283">
        <v>151.9</v>
      </c>
      <c r="AD283">
        <v>157.30000000000001</v>
      </c>
    </row>
    <row r="284" spans="1:30" x14ac:dyDescent="0.25">
      <c r="A284" t="s">
        <v>30</v>
      </c>
      <c r="B284">
        <v>2021</v>
      </c>
      <c r="C284" t="s">
        <v>36</v>
      </c>
      <c r="D284">
        <v>142.80000000000001</v>
      </c>
      <c r="E284">
        <v>184</v>
      </c>
      <c r="F284">
        <v>168</v>
      </c>
      <c r="G284">
        <v>154.4</v>
      </c>
      <c r="H284">
        <v>163</v>
      </c>
      <c r="I284">
        <v>147.80000000000001</v>
      </c>
      <c r="J284">
        <v>149.69999999999999</v>
      </c>
      <c r="K284">
        <v>158.30000000000001</v>
      </c>
      <c r="L284">
        <v>111.8</v>
      </c>
      <c r="M284">
        <v>165</v>
      </c>
      <c r="N284">
        <v>160</v>
      </c>
      <c r="O284">
        <v>165.8</v>
      </c>
      <c r="P284">
        <v>154.69999999999999</v>
      </c>
      <c r="Q284">
        <v>186.5</v>
      </c>
      <c r="R284">
        <v>159.1</v>
      </c>
      <c r="S284">
        <v>153.9</v>
      </c>
      <c r="T284">
        <v>158.4</v>
      </c>
      <c r="U284" t="s">
        <v>32</v>
      </c>
      <c r="V284">
        <v>154.4</v>
      </c>
      <c r="W284">
        <v>154.80000000000001</v>
      </c>
      <c r="X284">
        <v>164.3</v>
      </c>
      <c r="Y284">
        <v>150.19999999999999</v>
      </c>
      <c r="Z284">
        <v>157</v>
      </c>
      <c r="AA284">
        <v>163.6</v>
      </c>
      <c r="AB284">
        <v>155.19999999999999</v>
      </c>
      <c r="AC284">
        <v>157.19999999999999</v>
      </c>
      <c r="AD284">
        <v>156.69999999999999</v>
      </c>
    </row>
    <row r="285" spans="1:30" x14ac:dyDescent="0.25">
      <c r="A285" t="s">
        <v>33</v>
      </c>
      <c r="B285">
        <v>2021</v>
      </c>
      <c r="C285" t="s">
        <v>36</v>
      </c>
      <c r="D285">
        <v>147.6</v>
      </c>
      <c r="E285">
        <v>191.2</v>
      </c>
      <c r="F285">
        <v>169.9</v>
      </c>
      <c r="G285">
        <v>155.1</v>
      </c>
      <c r="H285">
        <v>151.4</v>
      </c>
      <c r="I285">
        <v>154</v>
      </c>
      <c r="J285">
        <v>180.2</v>
      </c>
      <c r="K285">
        <v>159.80000000000001</v>
      </c>
      <c r="L285">
        <v>114.9</v>
      </c>
      <c r="M285">
        <v>162.5</v>
      </c>
      <c r="N285">
        <v>149.19999999999999</v>
      </c>
      <c r="O285">
        <v>169.4</v>
      </c>
      <c r="P285">
        <v>160.80000000000001</v>
      </c>
      <c r="Q285">
        <v>193.3</v>
      </c>
      <c r="R285">
        <v>154.19999999999999</v>
      </c>
      <c r="S285">
        <v>138.19999999999999</v>
      </c>
      <c r="T285">
        <v>151.80000000000001</v>
      </c>
      <c r="U285" t="s">
        <v>138</v>
      </c>
      <c r="V285">
        <v>149.1</v>
      </c>
      <c r="W285">
        <v>146.5</v>
      </c>
      <c r="X285">
        <v>156.30000000000001</v>
      </c>
      <c r="Y285">
        <v>140.5</v>
      </c>
      <c r="Z285">
        <v>147.30000000000001</v>
      </c>
      <c r="AA285">
        <v>156.6</v>
      </c>
      <c r="AB285">
        <v>156.69999999999999</v>
      </c>
      <c r="AC285">
        <v>149.30000000000001</v>
      </c>
      <c r="AD285">
        <v>156.5</v>
      </c>
    </row>
    <row r="286" spans="1:30" x14ac:dyDescent="0.25">
      <c r="A286" t="s">
        <v>35</v>
      </c>
      <c r="B286">
        <v>2021</v>
      </c>
      <c r="C286" t="s">
        <v>36</v>
      </c>
      <c r="D286">
        <v>144.30000000000001</v>
      </c>
      <c r="E286">
        <v>186.5</v>
      </c>
      <c r="F286">
        <v>168.7</v>
      </c>
      <c r="G286">
        <v>154.69999999999999</v>
      </c>
      <c r="H286">
        <v>158.69999999999999</v>
      </c>
      <c r="I286">
        <v>150.69999999999999</v>
      </c>
      <c r="J286">
        <v>160</v>
      </c>
      <c r="K286">
        <v>158.80000000000001</v>
      </c>
      <c r="L286">
        <v>112.8</v>
      </c>
      <c r="M286">
        <v>164.2</v>
      </c>
      <c r="N286">
        <v>155.5</v>
      </c>
      <c r="O286">
        <v>167.5</v>
      </c>
      <c r="P286">
        <v>156.9</v>
      </c>
      <c r="Q286">
        <v>188.3</v>
      </c>
      <c r="R286">
        <v>157.19999999999999</v>
      </c>
      <c r="S286">
        <v>147.4</v>
      </c>
      <c r="T286">
        <v>155.80000000000001</v>
      </c>
      <c r="U286" t="s">
        <v>138</v>
      </c>
      <c r="V286">
        <v>152.4</v>
      </c>
      <c r="W286">
        <v>150.9</v>
      </c>
      <c r="X286">
        <v>161.30000000000001</v>
      </c>
      <c r="Y286">
        <v>145.1</v>
      </c>
      <c r="Z286">
        <v>151.5</v>
      </c>
      <c r="AA286">
        <v>159.5</v>
      </c>
      <c r="AB286">
        <v>155.80000000000001</v>
      </c>
      <c r="AC286">
        <v>153.4</v>
      </c>
      <c r="AD286">
        <v>156.6</v>
      </c>
    </row>
    <row r="287" spans="1:30" x14ac:dyDescent="0.25">
      <c r="A287" t="s">
        <v>30</v>
      </c>
      <c r="B287">
        <v>2021</v>
      </c>
      <c r="C287" t="s">
        <v>38</v>
      </c>
      <c r="D287">
        <v>142.5</v>
      </c>
      <c r="E287">
        <v>189.4</v>
      </c>
      <c r="F287">
        <v>163.19999999999999</v>
      </c>
      <c r="G287">
        <v>154.5</v>
      </c>
      <c r="H287">
        <v>168.2</v>
      </c>
      <c r="I287">
        <v>150.5</v>
      </c>
      <c r="J287">
        <v>141</v>
      </c>
      <c r="K287">
        <v>159.19999999999999</v>
      </c>
      <c r="L287">
        <v>111.7</v>
      </c>
      <c r="M287">
        <v>164</v>
      </c>
      <c r="N287">
        <v>160.6</v>
      </c>
      <c r="O287">
        <v>166.4</v>
      </c>
      <c r="P287">
        <v>154.5</v>
      </c>
      <c r="Q287">
        <v>186.1</v>
      </c>
      <c r="R287">
        <v>159.6</v>
      </c>
      <c r="S287">
        <v>154.4</v>
      </c>
      <c r="T287">
        <v>158.9</v>
      </c>
      <c r="U287" t="s">
        <v>139</v>
      </c>
      <c r="V287">
        <v>156</v>
      </c>
      <c r="W287">
        <v>154.80000000000001</v>
      </c>
      <c r="X287">
        <v>164.6</v>
      </c>
      <c r="Y287">
        <v>151.30000000000001</v>
      </c>
      <c r="Z287">
        <v>157.80000000000001</v>
      </c>
      <c r="AA287">
        <v>163.80000000000001</v>
      </c>
      <c r="AB287">
        <v>153.1</v>
      </c>
      <c r="AC287">
        <v>157.30000000000001</v>
      </c>
      <c r="AD287">
        <v>156.69999999999999</v>
      </c>
    </row>
    <row r="288" spans="1:30" x14ac:dyDescent="0.25">
      <c r="A288" t="s">
        <v>33</v>
      </c>
      <c r="B288">
        <v>2021</v>
      </c>
      <c r="C288" t="s">
        <v>38</v>
      </c>
      <c r="D288">
        <v>147.5</v>
      </c>
      <c r="E288">
        <v>197.5</v>
      </c>
      <c r="F288">
        <v>164.7</v>
      </c>
      <c r="G288">
        <v>155.6</v>
      </c>
      <c r="H288">
        <v>156.4</v>
      </c>
      <c r="I288">
        <v>157.30000000000001</v>
      </c>
      <c r="J288">
        <v>166.1</v>
      </c>
      <c r="K288">
        <v>161.1</v>
      </c>
      <c r="L288">
        <v>114.3</v>
      </c>
      <c r="M288">
        <v>162.6</v>
      </c>
      <c r="N288">
        <v>150.69999999999999</v>
      </c>
      <c r="O288">
        <v>170.3</v>
      </c>
      <c r="P288">
        <v>160.4</v>
      </c>
      <c r="Q288">
        <v>193.5</v>
      </c>
      <c r="R288">
        <v>155.1</v>
      </c>
      <c r="S288">
        <v>138.69999999999999</v>
      </c>
      <c r="T288">
        <v>152.6</v>
      </c>
      <c r="U288" t="s">
        <v>140</v>
      </c>
      <c r="V288">
        <v>154.80000000000001</v>
      </c>
      <c r="W288">
        <v>147.19999999999999</v>
      </c>
      <c r="X288">
        <v>156.9</v>
      </c>
      <c r="Y288">
        <v>141.69999999999999</v>
      </c>
      <c r="Z288">
        <v>148.6</v>
      </c>
      <c r="AA288">
        <v>157.6</v>
      </c>
      <c r="AB288">
        <v>154.9</v>
      </c>
      <c r="AC288">
        <v>150</v>
      </c>
      <c r="AD288">
        <v>156.9</v>
      </c>
    </row>
    <row r="289" spans="1:30" x14ac:dyDescent="0.25">
      <c r="A289" t="s">
        <v>35</v>
      </c>
      <c r="B289">
        <v>2021</v>
      </c>
      <c r="C289" t="s">
        <v>38</v>
      </c>
      <c r="D289">
        <v>144.1</v>
      </c>
      <c r="E289">
        <v>192.2</v>
      </c>
      <c r="F289">
        <v>163.80000000000001</v>
      </c>
      <c r="G289">
        <v>154.9</v>
      </c>
      <c r="H289">
        <v>163.9</v>
      </c>
      <c r="I289">
        <v>153.69999999999999</v>
      </c>
      <c r="J289">
        <v>149.5</v>
      </c>
      <c r="K289">
        <v>159.80000000000001</v>
      </c>
      <c r="L289">
        <v>112.6</v>
      </c>
      <c r="M289">
        <v>163.5</v>
      </c>
      <c r="N289">
        <v>156.5</v>
      </c>
      <c r="O289">
        <v>168.2</v>
      </c>
      <c r="P289">
        <v>156.69999999999999</v>
      </c>
      <c r="Q289">
        <v>188.1</v>
      </c>
      <c r="R289">
        <v>157.80000000000001</v>
      </c>
      <c r="S289">
        <v>147.9</v>
      </c>
      <c r="T289">
        <v>156.4</v>
      </c>
      <c r="U289" t="s">
        <v>140</v>
      </c>
      <c r="V289">
        <v>155.5</v>
      </c>
      <c r="W289">
        <v>151.19999999999999</v>
      </c>
      <c r="X289">
        <v>161.69999999999999</v>
      </c>
      <c r="Y289">
        <v>146.19999999999999</v>
      </c>
      <c r="Z289">
        <v>152.6</v>
      </c>
      <c r="AA289">
        <v>160.19999999999999</v>
      </c>
      <c r="AB289">
        <v>153.80000000000001</v>
      </c>
      <c r="AC289">
        <v>153.80000000000001</v>
      </c>
      <c r="AD289">
        <v>156.80000000000001</v>
      </c>
    </row>
    <row r="290" spans="1:30" x14ac:dyDescent="0.25">
      <c r="A290" t="s">
        <v>30</v>
      </c>
      <c r="B290">
        <v>2021</v>
      </c>
      <c r="C290" t="s">
        <v>39</v>
      </c>
      <c r="D290">
        <v>142.69999999999999</v>
      </c>
      <c r="E290">
        <v>195.5</v>
      </c>
      <c r="F290">
        <v>163.4</v>
      </c>
      <c r="G290">
        <v>155</v>
      </c>
      <c r="H290">
        <v>175.2</v>
      </c>
      <c r="I290">
        <v>160.6</v>
      </c>
      <c r="J290">
        <v>135.1</v>
      </c>
      <c r="K290">
        <v>161.1</v>
      </c>
      <c r="L290">
        <v>112.2</v>
      </c>
      <c r="M290">
        <v>164.4</v>
      </c>
      <c r="N290">
        <v>161.9</v>
      </c>
      <c r="O290">
        <v>166.8</v>
      </c>
      <c r="P290">
        <v>155.6</v>
      </c>
      <c r="Q290">
        <v>186.8</v>
      </c>
      <c r="R290">
        <v>160.69999999999999</v>
      </c>
      <c r="S290">
        <v>155.1</v>
      </c>
      <c r="T290">
        <v>159.9</v>
      </c>
      <c r="U290" t="s">
        <v>139</v>
      </c>
      <c r="V290">
        <v>156</v>
      </c>
      <c r="W290">
        <v>155.5</v>
      </c>
      <c r="X290">
        <v>165.3</v>
      </c>
      <c r="Y290">
        <v>151.69999999999999</v>
      </c>
      <c r="Z290">
        <v>158.6</v>
      </c>
      <c r="AA290">
        <v>164.1</v>
      </c>
      <c r="AB290">
        <v>154.6</v>
      </c>
      <c r="AC290">
        <v>158</v>
      </c>
      <c r="AD290">
        <v>157.6</v>
      </c>
    </row>
    <row r="291" spans="1:30" x14ac:dyDescent="0.25">
      <c r="A291" t="s">
        <v>33</v>
      </c>
      <c r="B291">
        <v>2021</v>
      </c>
      <c r="C291" t="s">
        <v>39</v>
      </c>
      <c r="D291">
        <v>147.6</v>
      </c>
      <c r="E291">
        <v>202.5</v>
      </c>
      <c r="F291">
        <v>166.4</v>
      </c>
      <c r="G291">
        <v>156</v>
      </c>
      <c r="H291">
        <v>161.4</v>
      </c>
      <c r="I291">
        <v>168.8</v>
      </c>
      <c r="J291">
        <v>161.6</v>
      </c>
      <c r="K291">
        <v>162.80000000000001</v>
      </c>
      <c r="L291">
        <v>114.8</v>
      </c>
      <c r="M291">
        <v>162.80000000000001</v>
      </c>
      <c r="N291">
        <v>151.5</v>
      </c>
      <c r="O291">
        <v>171.4</v>
      </c>
      <c r="P291">
        <v>162</v>
      </c>
      <c r="Q291">
        <v>194.4</v>
      </c>
      <c r="R291">
        <v>155.9</v>
      </c>
      <c r="S291">
        <v>139.30000000000001</v>
      </c>
      <c r="T291">
        <v>153.4</v>
      </c>
      <c r="U291" t="s">
        <v>141</v>
      </c>
      <c r="V291">
        <v>154.9</v>
      </c>
      <c r="W291">
        <v>147.6</v>
      </c>
      <c r="X291">
        <v>157.5</v>
      </c>
      <c r="Y291">
        <v>142.1</v>
      </c>
      <c r="Z291">
        <v>149.1</v>
      </c>
      <c r="AA291">
        <v>157.6</v>
      </c>
      <c r="AB291">
        <v>156.6</v>
      </c>
      <c r="AC291">
        <v>150.5</v>
      </c>
      <c r="AD291">
        <v>158</v>
      </c>
    </row>
    <row r="292" spans="1:30" x14ac:dyDescent="0.25">
      <c r="A292" t="s">
        <v>35</v>
      </c>
      <c r="B292">
        <v>2021</v>
      </c>
      <c r="C292" t="s">
        <v>39</v>
      </c>
      <c r="D292">
        <v>144.30000000000001</v>
      </c>
      <c r="E292">
        <v>198</v>
      </c>
      <c r="F292">
        <v>164.6</v>
      </c>
      <c r="G292">
        <v>155.4</v>
      </c>
      <c r="H292">
        <v>170.1</v>
      </c>
      <c r="I292">
        <v>164.4</v>
      </c>
      <c r="J292">
        <v>144.1</v>
      </c>
      <c r="K292">
        <v>161.69999999999999</v>
      </c>
      <c r="L292">
        <v>113.1</v>
      </c>
      <c r="M292">
        <v>163.9</v>
      </c>
      <c r="N292">
        <v>157.6</v>
      </c>
      <c r="O292">
        <v>168.9</v>
      </c>
      <c r="P292">
        <v>158</v>
      </c>
      <c r="Q292">
        <v>188.8</v>
      </c>
      <c r="R292">
        <v>158.80000000000001</v>
      </c>
      <c r="S292">
        <v>148.5</v>
      </c>
      <c r="T292">
        <v>157.30000000000001</v>
      </c>
      <c r="U292" t="s">
        <v>141</v>
      </c>
      <c r="V292">
        <v>155.6</v>
      </c>
      <c r="W292">
        <v>151.80000000000001</v>
      </c>
      <c r="X292">
        <v>162.30000000000001</v>
      </c>
      <c r="Y292">
        <v>146.6</v>
      </c>
      <c r="Z292">
        <v>153.19999999999999</v>
      </c>
      <c r="AA292">
        <v>160.30000000000001</v>
      </c>
      <c r="AB292">
        <v>155.4</v>
      </c>
      <c r="AC292">
        <v>154.4</v>
      </c>
      <c r="AD292">
        <v>157.80000000000001</v>
      </c>
    </row>
    <row r="293" spans="1:30" x14ac:dyDescent="0.25">
      <c r="A293" t="s">
        <v>30</v>
      </c>
      <c r="B293">
        <v>2021</v>
      </c>
      <c r="C293" t="s">
        <v>41</v>
      </c>
      <c r="D293">
        <v>145.1</v>
      </c>
      <c r="E293">
        <v>198.5</v>
      </c>
      <c r="F293">
        <v>168.6</v>
      </c>
      <c r="G293">
        <v>155.80000000000001</v>
      </c>
      <c r="H293">
        <v>184.4</v>
      </c>
      <c r="I293">
        <v>162.30000000000001</v>
      </c>
      <c r="J293">
        <v>138.4</v>
      </c>
      <c r="K293">
        <v>165.1</v>
      </c>
      <c r="L293">
        <v>114.3</v>
      </c>
      <c r="M293">
        <v>169.7</v>
      </c>
      <c r="N293">
        <v>164.6</v>
      </c>
      <c r="O293">
        <v>169.8</v>
      </c>
      <c r="P293">
        <v>158.69999999999999</v>
      </c>
      <c r="Q293">
        <v>189.6</v>
      </c>
      <c r="R293">
        <v>165.3</v>
      </c>
      <c r="S293">
        <v>160.6</v>
      </c>
      <c r="T293">
        <v>164.5</v>
      </c>
      <c r="U293" t="s">
        <v>32</v>
      </c>
      <c r="V293">
        <v>161.69999999999999</v>
      </c>
      <c r="W293">
        <v>158.80000000000001</v>
      </c>
      <c r="X293">
        <v>169.1</v>
      </c>
      <c r="Y293">
        <v>153.19999999999999</v>
      </c>
      <c r="Z293">
        <v>160</v>
      </c>
      <c r="AA293">
        <v>167.6</v>
      </c>
      <c r="AB293">
        <v>159.30000000000001</v>
      </c>
      <c r="AC293">
        <v>161.1</v>
      </c>
      <c r="AD293">
        <v>161.1</v>
      </c>
    </row>
    <row r="294" spans="1:30" x14ac:dyDescent="0.25">
      <c r="A294" t="s">
        <v>33</v>
      </c>
      <c r="B294">
        <v>2021</v>
      </c>
      <c r="C294" t="s">
        <v>41</v>
      </c>
      <c r="D294">
        <v>148.80000000000001</v>
      </c>
      <c r="E294">
        <v>204.3</v>
      </c>
      <c r="F294">
        <v>173</v>
      </c>
      <c r="G294">
        <v>156.5</v>
      </c>
      <c r="H294">
        <v>168.8</v>
      </c>
      <c r="I294">
        <v>172.5</v>
      </c>
      <c r="J294">
        <v>166.5</v>
      </c>
      <c r="K294">
        <v>165.9</v>
      </c>
      <c r="L294">
        <v>115.9</v>
      </c>
      <c r="M294">
        <v>165.2</v>
      </c>
      <c r="N294">
        <v>152</v>
      </c>
      <c r="O294">
        <v>171.1</v>
      </c>
      <c r="P294">
        <v>164.2</v>
      </c>
      <c r="Q294">
        <v>198.2</v>
      </c>
      <c r="R294">
        <v>156.5</v>
      </c>
      <c r="S294">
        <v>140.19999999999999</v>
      </c>
      <c r="T294">
        <v>154.1</v>
      </c>
      <c r="U294" t="s">
        <v>142</v>
      </c>
      <c r="V294">
        <v>155.5</v>
      </c>
      <c r="W294">
        <v>150.1</v>
      </c>
      <c r="X294">
        <v>160.4</v>
      </c>
      <c r="Y294">
        <v>145</v>
      </c>
      <c r="Z294">
        <v>152.6</v>
      </c>
      <c r="AA294">
        <v>156.6</v>
      </c>
      <c r="AB294">
        <v>157.5</v>
      </c>
      <c r="AC294">
        <v>152.30000000000001</v>
      </c>
      <c r="AD294">
        <v>159.5</v>
      </c>
    </row>
    <row r="295" spans="1:30" x14ac:dyDescent="0.25">
      <c r="A295" t="s">
        <v>35</v>
      </c>
      <c r="B295">
        <v>2021</v>
      </c>
      <c r="C295" t="s">
        <v>41</v>
      </c>
      <c r="D295">
        <v>146.30000000000001</v>
      </c>
      <c r="E295">
        <v>200.5</v>
      </c>
      <c r="F295">
        <v>170.3</v>
      </c>
      <c r="G295">
        <v>156.1</v>
      </c>
      <c r="H295">
        <v>178.7</v>
      </c>
      <c r="I295">
        <v>167.1</v>
      </c>
      <c r="J295">
        <v>147.9</v>
      </c>
      <c r="K295">
        <v>165.4</v>
      </c>
      <c r="L295">
        <v>114.8</v>
      </c>
      <c r="M295">
        <v>168.2</v>
      </c>
      <c r="N295">
        <v>159.30000000000001</v>
      </c>
      <c r="O295">
        <v>170.4</v>
      </c>
      <c r="P295">
        <v>160.69999999999999</v>
      </c>
      <c r="Q295">
        <v>191.9</v>
      </c>
      <c r="R295">
        <v>161.80000000000001</v>
      </c>
      <c r="S295">
        <v>152.1</v>
      </c>
      <c r="T295">
        <v>160.4</v>
      </c>
      <c r="U295" t="s">
        <v>142</v>
      </c>
      <c r="V295">
        <v>159.4</v>
      </c>
      <c r="W295">
        <v>154.69999999999999</v>
      </c>
      <c r="X295">
        <v>165.8</v>
      </c>
      <c r="Y295">
        <v>148.9</v>
      </c>
      <c r="Z295">
        <v>155.80000000000001</v>
      </c>
      <c r="AA295">
        <v>161.19999999999999</v>
      </c>
      <c r="AB295">
        <v>158.6</v>
      </c>
      <c r="AC295">
        <v>156.80000000000001</v>
      </c>
      <c r="AD295">
        <v>160.4</v>
      </c>
    </row>
    <row r="296" spans="1:30" x14ac:dyDescent="0.25">
      <c r="A296" t="s">
        <v>30</v>
      </c>
      <c r="B296">
        <v>2021</v>
      </c>
      <c r="C296" t="s">
        <v>42</v>
      </c>
      <c r="D296">
        <v>145.6</v>
      </c>
      <c r="E296">
        <v>200.1</v>
      </c>
      <c r="F296">
        <v>179.3</v>
      </c>
      <c r="G296">
        <v>156.1</v>
      </c>
      <c r="H296">
        <v>190.4</v>
      </c>
      <c r="I296">
        <v>158.6</v>
      </c>
      <c r="J296">
        <v>144.69999999999999</v>
      </c>
      <c r="K296">
        <v>165.5</v>
      </c>
      <c r="L296">
        <v>114.6</v>
      </c>
      <c r="M296">
        <v>170</v>
      </c>
      <c r="N296">
        <v>165.5</v>
      </c>
      <c r="O296">
        <v>171.7</v>
      </c>
      <c r="P296">
        <v>160.5</v>
      </c>
      <c r="Q296">
        <v>189.1</v>
      </c>
      <c r="R296">
        <v>165.3</v>
      </c>
      <c r="S296">
        <v>159.9</v>
      </c>
      <c r="T296">
        <v>164.6</v>
      </c>
      <c r="U296" t="s">
        <v>32</v>
      </c>
      <c r="V296">
        <v>162.1</v>
      </c>
      <c r="W296">
        <v>159.19999999999999</v>
      </c>
      <c r="X296">
        <v>169.7</v>
      </c>
      <c r="Y296">
        <v>154.19999999999999</v>
      </c>
      <c r="Z296">
        <v>160.4</v>
      </c>
      <c r="AA296">
        <v>166.8</v>
      </c>
      <c r="AB296">
        <v>159.4</v>
      </c>
      <c r="AC296">
        <v>161.5</v>
      </c>
      <c r="AD296">
        <v>162.1</v>
      </c>
    </row>
    <row r="297" spans="1:30" x14ac:dyDescent="0.25">
      <c r="A297" t="s">
        <v>33</v>
      </c>
      <c r="B297">
        <v>2021</v>
      </c>
      <c r="C297" t="s">
        <v>42</v>
      </c>
      <c r="D297">
        <v>149.19999999999999</v>
      </c>
      <c r="E297">
        <v>205.5</v>
      </c>
      <c r="F297">
        <v>182.8</v>
      </c>
      <c r="G297">
        <v>156.5</v>
      </c>
      <c r="H297">
        <v>172.2</v>
      </c>
      <c r="I297">
        <v>171.5</v>
      </c>
      <c r="J297">
        <v>176.2</v>
      </c>
      <c r="K297">
        <v>166.9</v>
      </c>
      <c r="L297">
        <v>116.1</v>
      </c>
      <c r="M297">
        <v>165.5</v>
      </c>
      <c r="N297">
        <v>152.30000000000001</v>
      </c>
      <c r="O297">
        <v>173.3</v>
      </c>
      <c r="P297">
        <v>166.2</v>
      </c>
      <c r="Q297">
        <v>195.6</v>
      </c>
      <c r="R297">
        <v>157.30000000000001</v>
      </c>
      <c r="S297">
        <v>140.5</v>
      </c>
      <c r="T297">
        <v>154.80000000000001</v>
      </c>
      <c r="U297" t="s">
        <v>143</v>
      </c>
      <c r="V297">
        <v>156.1</v>
      </c>
      <c r="W297">
        <v>149.80000000000001</v>
      </c>
      <c r="X297">
        <v>160.80000000000001</v>
      </c>
      <c r="Y297">
        <v>147.5</v>
      </c>
      <c r="Z297">
        <v>150.69999999999999</v>
      </c>
      <c r="AA297">
        <v>158.1</v>
      </c>
      <c r="AB297">
        <v>158</v>
      </c>
      <c r="AC297">
        <v>153.4</v>
      </c>
      <c r="AD297">
        <v>160.4</v>
      </c>
    </row>
    <row r="298" spans="1:30" x14ac:dyDescent="0.25">
      <c r="A298" t="s">
        <v>35</v>
      </c>
      <c r="B298">
        <v>2021</v>
      </c>
      <c r="C298" t="s">
        <v>42</v>
      </c>
      <c r="D298">
        <v>146.69999999999999</v>
      </c>
      <c r="E298">
        <v>202</v>
      </c>
      <c r="F298">
        <v>180.7</v>
      </c>
      <c r="G298">
        <v>156.19999999999999</v>
      </c>
      <c r="H298">
        <v>183.7</v>
      </c>
      <c r="I298">
        <v>164.6</v>
      </c>
      <c r="J298">
        <v>155.4</v>
      </c>
      <c r="K298">
        <v>166</v>
      </c>
      <c r="L298">
        <v>115.1</v>
      </c>
      <c r="M298">
        <v>168.5</v>
      </c>
      <c r="N298">
        <v>160</v>
      </c>
      <c r="O298">
        <v>172.4</v>
      </c>
      <c r="P298">
        <v>162.6</v>
      </c>
      <c r="Q298">
        <v>190.8</v>
      </c>
      <c r="R298">
        <v>162.19999999999999</v>
      </c>
      <c r="S298">
        <v>151.80000000000001</v>
      </c>
      <c r="T298">
        <v>160.69999999999999</v>
      </c>
      <c r="U298" t="s">
        <v>143</v>
      </c>
      <c r="V298">
        <v>159.80000000000001</v>
      </c>
      <c r="W298">
        <v>154.80000000000001</v>
      </c>
      <c r="X298">
        <v>166.3</v>
      </c>
      <c r="Y298">
        <v>150.69999999999999</v>
      </c>
      <c r="Z298">
        <v>154.9</v>
      </c>
      <c r="AA298">
        <v>161.69999999999999</v>
      </c>
      <c r="AB298">
        <v>158.80000000000001</v>
      </c>
      <c r="AC298">
        <v>157.6</v>
      </c>
      <c r="AD298">
        <v>161.30000000000001</v>
      </c>
    </row>
    <row r="299" spans="1:30" x14ac:dyDescent="0.25">
      <c r="A299" t="s">
        <v>30</v>
      </c>
      <c r="B299">
        <v>2021</v>
      </c>
      <c r="C299" t="s">
        <v>44</v>
      </c>
      <c r="D299">
        <v>145.1</v>
      </c>
      <c r="E299">
        <v>204.5</v>
      </c>
      <c r="F299">
        <v>180.4</v>
      </c>
      <c r="G299">
        <v>157.1</v>
      </c>
      <c r="H299">
        <v>188.7</v>
      </c>
      <c r="I299">
        <v>157.69999999999999</v>
      </c>
      <c r="J299">
        <v>152.80000000000001</v>
      </c>
      <c r="K299">
        <v>163.6</v>
      </c>
      <c r="L299">
        <v>113.9</v>
      </c>
      <c r="M299">
        <v>169.7</v>
      </c>
      <c r="N299">
        <v>166.2</v>
      </c>
      <c r="O299">
        <v>171</v>
      </c>
      <c r="P299">
        <v>161.69999999999999</v>
      </c>
      <c r="Q299">
        <v>189.7</v>
      </c>
      <c r="R299">
        <v>166</v>
      </c>
      <c r="S299">
        <v>161.1</v>
      </c>
      <c r="T299">
        <v>165.3</v>
      </c>
      <c r="U299" t="s">
        <v>32</v>
      </c>
      <c r="V299">
        <v>162.5</v>
      </c>
      <c r="W299">
        <v>160.30000000000001</v>
      </c>
      <c r="X299">
        <v>170.4</v>
      </c>
      <c r="Y299">
        <v>157.1</v>
      </c>
      <c r="Z299">
        <v>160.69999999999999</v>
      </c>
      <c r="AA299">
        <v>167.2</v>
      </c>
      <c r="AB299">
        <v>160.4</v>
      </c>
      <c r="AC299">
        <v>162.80000000000001</v>
      </c>
      <c r="AD299">
        <v>163.19999999999999</v>
      </c>
    </row>
    <row r="300" spans="1:30" x14ac:dyDescent="0.25">
      <c r="A300" t="s">
        <v>33</v>
      </c>
      <c r="B300">
        <v>2021</v>
      </c>
      <c r="C300" t="s">
        <v>44</v>
      </c>
      <c r="D300">
        <v>149.1</v>
      </c>
      <c r="E300">
        <v>210.9</v>
      </c>
      <c r="F300">
        <v>185</v>
      </c>
      <c r="G300">
        <v>158.19999999999999</v>
      </c>
      <c r="H300">
        <v>170.6</v>
      </c>
      <c r="I300">
        <v>170.9</v>
      </c>
      <c r="J300">
        <v>186.4</v>
      </c>
      <c r="K300">
        <v>164.7</v>
      </c>
      <c r="L300">
        <v>115.7</v>
      </c>
      <c r="M300">
        <v>165.5</v>
      </c>
      <c r="N300">
        <v>153.4</v>
      </c>
      <c r="O300">
        <v>173.5</v>
      </c>
      <c r="P300">
        <v>167.9</v>
      </c>
      <c r="Q300">
        <v>195.5</v>
      </c>
      <c r="R300">
        <v>157.9</v>
      </c>
      <c r="S300">
        <v>141.9</v>
      </c>
      <c r="T300">
        <v>155.5</v>
      </c>
      <c r="U300" t="s">
        <v>144</v>
      </c>
      <c r="V300">
        <v>157.69999999999999</v>
      </c>
      <c r="W300">
        <v>150.69999999999999</v>
      </c>
      <c r="X300">
        <v>161.5</v>
      </c>
      <c r="Y300">
        <v>149.5</v>
      </c>
      <c r="Z300">
        <v>151.19999999999999</v>
      </c>
      <c r="AA300">
        <v>160.30000000000001</v>
      </c>
      <c r="AB300">
        <v>159.6</v>
      </c>
      <c r="AC300">
        <v>155</v>
      </c>
      <c r="AD300">
        <v>161.80000000000001</v>
      </c>
    </row>
    <row r="301" spans="1:30" x14ac:dyDescent="0.25">
      <c r="A301" t="s">
        <v>35</v>
      </c>
      <c r="B301">
        <v>2021</v>
      </c>
      <c r="C301" t="s">
        <v>44</v>
      </c>
      <c r="D301">
        <v>146.4</v>
      </c>
      <c r="E301">
        <v>206.8</v>
      </c>
      <c r="F301">
        <v>182.2</v>
      </c>
      <c r="G301">
        <v>157.5</v>
      </c>
      <c r="H301">
        <v>182.1</v>
      </c>
      <c r="I301">
        <v>163.9</v>
      </c>
      <c r="J301">
        <v>164.2</v>
      </c>
      <c r="K301">
        <v>164</v>
      </c>
      <c r="L301">
        <v>114.5</v>
      </c>
      <c r="M301">
        <v>168.3</v>
      </c>
      <c r="N301">
        <v>160.9</v>
      </c>
      <c r="O301">
        <v>172.2</v>
      </c>
      <c r="P301">
        <v>164</v>
      </c>
      <c r="Q301">
        <v>191.2</v>
      </c>
      <c r="R301">
        <v>162.80000000000001</v>
      </c>
      <c r="S301">
        <v>153.1</v>
      </c>
      <c r="T301">
        <v>161.4</v>
      </c>
      <c r="U301" t="s">
        <v>144</v>
      </c>
      <c r="V301">
        <v>160.69999999999999</v>
      </c>
      <c r="W301">
        <v>155.80000000000001</v>
      </c>
      <c r="X301">
        <v>167</v>
      </c>
      <c r="Y301">
        <v>153.1</v>
      </c>
      <c r="Z301">
        <v>155.30000000000001</v>
      </c>
      <c r="AA301">
        <v>163.19999999999999</v>
      </c>
      <c r="AB301">
        <v>160.1</v>
      </c>
      <c r="AC301">
        <v>159</v>
      </c>
      <c r="AD301">
        <v>162.5</v>
      </c>
    </row>
    <row r="302" spans="1:30" x14ac:dyDescent="0.25">
      <c r="A302" t="s">
        <v>30</v>
      </c>
      <c r="B302">
        <v>2021</v>
      </c>
      <c r="C302" t="s">
        <v>46</v>
      </c>
      <c r="D302">
        <v>144.9</v>
      </c>
      <c r="E302">
        <v>202.3</v>
      </c>
      <c r="F302">
        <v>176.5</v>
      </c>
      <c r="G302">
        <v>157.5</v>
      </c>
      <c r="H302">
        <v>190.9</v>
      </c>
      <c r="I302">
        <v>155.69999999999999</v>
      </c>
      <c r="J302">
        <v>153.9</v>
      </c>
      <c r="K302">
        <v>162.80000000000001</v>
      </c>
      <c r="L302">
        <v>115.2</v>
      </c>
      <c r="M302">
        <v>169.8</v>
      </c>
      <c r="N302">
        <v>167.6</v>
      </c>
      <c r="O302">
        <v>171.9</v>
      </c>
      <c r="P302">
        <v>161.80000000000001</v>
      </c>
      <c r="Q302">
        <v>190.2</v>
      </c>
      <c r="R302">
        <v>167</v>
      </c>
      <c r="S302">
        <v>162.6</v>
      </c>
      <c r="T302">
        <v>166.3</v>
      </c>
      <c r="U302" t="s">
        <v>32</v>
      </c>
      <c r="V302">
        <v>163.1</v>
      </c>
      <c r="W302">
        <v>160.9</v>
      </c>
      <c r="X302">
        <v>171.1</v>
      </c>
      <c r="Y302">
        <v>157.69999999999999</v>
      </c>
      <c r="Z302">
        <v>161.1</v>
      </c>
      <c r="AA302">
        <v>167.5</v>
      </c>
      <c r="AB302">
        <v>160.30000000000001</v>
      </c>
      <c r="AC302">
        <v>163.30000000000001</v>
      </c>
      <c r="AD302">
        <v>163.6</v>
      </c>
    </row>
    <row r="303" spans="1:30" x14ac:dyDescent="0.25">
      <c r="A303" t="s">
        <v>33</v>
      </c>
      <c r="B303">
        <v>2021</v>
      </c>
      <c r="C303" t="s">
        <v>46</v>
      </c>
      <c r="D303">
        <v>149.30000000000001</v>
      </c>
      <c r="E303">
        <v>207.4</v>
      </c>
      <c r="F303">
        <v>174.1</v>
      </c>
      <c r="G303">
        <v>159.19999999999999</v>
      </c>
      <c r="H303">
        <v>175</v>
      </c>
      <c r="I303">
        <v>161.30000000000001</v>
      </c>
      <c r="J303">
        <v>183.3</v>
      </c>
      <c r="K303">
        <v>164.5</v>
      </c>
      <c r="L303">
        <v>120.4</v>
      </c>
      <c r="M303">
        <v>166.2</v>
      </c>
      <c r="N303">
        <v>154.80000000000001</v>
      </c>
      <c r="O303">
        <v>175.1</v>
      </c>
      <c r="P303">
        <v>167.3</v>
      </c>
      <c r="Q303">
        <v>196.5</v>
      </c>
      <c r="R303">
        <v>159.80000000000001</v>
      </c>
      <c r="S303">
        <v>143.6</v>
      </c>
      <c r="T303">
        <v>157.30000000000001</v>
      </c>
      <c r="U303" t="s">
        <v>145</v>
      </c>
      <c r="V303">
        <v>160.69999999999999</v>
      </c>
      <c r="W303">
        <v>153.19999999999999</v>
      </c>
      <c r="X303">
        <v>162.80000000000001</v>
      </c>
      <c r="Y303">
        <v>150.4</v>
      </c>
      <c r="Z303">
        <v>153.69999999999999</v>
      </c>
      <c r="AA303">
        <v>160.4</v>
      </c>
      <c r="AB303">
        <v>159.6</v>
      </c>
      <c r="AC303">
        <v>156</v>
      </c>
      <c r="AD303">
        <v>162.30000000000001</v>
      </c>
    </row>
    <row r="304" spans="1:30" x14ac:dyDescent="0.25">
      <c r="A304" t="s">
        <v>35</v>
      </c>
      <c r="B304">
        <v>2021</v>
      </c>
      <c r="C304" t="s">
        <v>46</v>
      </c>
      <c r="D304">
        <v>146.6</v>
      </c>
      <c r="E304">
        <v>204</v>
      </c>
      <c r="F304">
        <v>172.8</v>
      </c>
      <c r="G304">
        <v>158.4</v>
      </c>
      <c r="H304">
        <v>188</v>
      </c>
      <c r="I304">
        <v>156.80000000000001</v>
      </c>
      <c r="J304">
        <v>162.19999999999999</v>
      </c>
      <c r="K304">
        <v>164.1</v>
      </c>
      <c r="L304">
        <v>119.7</v>
      </c>
      <c r="M304">
        <v>168.8</v>
      </c>
      <c r="N304">
        <v>162.69999999999999</v>
      </c>
      <c r="O304">
        <v>173.9</v>
      </c>
      <c r="P304">
        <v>164</v>
      </c>
      <c r="Q304">
        <v>192.1</v>
      </c>
      <c r="R304">
        <v>164.5</v>
      </c>
      <c r="S304">
        <v>155.30000000000001</v>
      </c>
      <c r="T304">
        <v>163.19999999999999</v>
      </c>
      <c r="U304" t="s">
        <v>145</v>
      </c>
      <c r="V304">
        <v>162.6</v>
      </c>
      <c r="W304">
        <v>157.5</v>
      </c>
      <c r="X304">
        <v>168.4</v>
      </c>
      <c r="Y304">
        <v>154</v>
      </c>
      <c r="Z304">
        <v>157.6</v>
      </c>
      <c r="AA304">
        <v>163.80000000000001</v>
      </c>
      <c r="AB304">
        <v>160</v>
      </c>
      <c r="AC304">
        <v>160</v>
      </c>
      <c r="AD304">
        <v>163.19999999999999</v>
      </c>
    </row>
    <row r="305" spans="1:30" x14ac:dyDescent="0.25">
      <c r="A305" t="s">
        <v>30</v>
      </c>
      <c r="B305">
        <v>2021</v>
      </c>
      <c r="C305" t="s">
        <v>48</v>
      </c>
      <c r="D305">
        <v>145.4</v>
      </c>
      <c r="E305">
        <v>202.1</v>
      </c>
      <c r="F305">
        <v>172</v>
      </c>
      <c r="G305">
        <v>158</v>
      </c>
      <c r="H305">
        <v>195.5</v>
      </c>
      <c r="I305">
        <v>152.69999999999999</v>
      </c>
      <c r="J305">
        <v>151.4</v>
      </c>
      <c r="K305">
        <v>163.9</v>
      </c>
      <c r="L305">
        <v>119.3</v>
      </c>
      <c r="M305">
        <v>170.1</v>
      </c>
      <c r="N305">
        <v>168.3</v>
      </c>
      <c r="O305">
        <v>172.8</v>
      </c>
      <c r="P305">
        <v>162.1</v>
      </c>
      <c r="Q305">
        <v>190.5</v>
      </c>
      <c r="R305">
        <v>167.7</v>
      </c>
      <c r="S305">
        <v>163.6</v>
      </c>
      <c r="T305">
        <v>167.1</v>
      </c>
      <c r="U305" t="s">
        <v>32</v>
      </c>
      <c r="V305">
        <v>163.69999999999999</v>
      </c>
      <c r="W305">
        <v>161.30000000000001</v>
      </c>
      <c r="X305">
        <v>171.9</v>
      </c>
      <c r="Y305">
        <v>157.80000000000001</v>
      </c>
      <c r="Z305">
        <v>162.69999999999999</v>
      </c>
      <c r="AA305">
        <v>168.5</v>
      </c>
      <c r="AB305">
        <v>160.19999999999999</v>
      </c>
      <c r="AC305">
        <v>163.80000000000001</v>
      </c>
      <c r="AD305">
        <v>164</v>
      </c>
    </row>
    <row r="306" spans="1:30" x14ac:dyDescent="0.25">
      <c r="A306" t="s">
        <v>33</v>
      </c>
      <c r="B306">
        <v>2021</v>
      </c>
      <c r="C306" t="s">
        <v>48</v>
      </c>
      <c r="D306">
        <v>149.30000000000001</v>
      </c>
      <c r="E306">
        <v>207.4</v>
      </c>
      <c r="F306">
        <v>174.1</v>
      </c>
      <c r="G306">
        <v>159.1</v>
      </c>
      <c r="H306">
        <v>175</v>
      </c>
      <c r="I306">
        <v>161.19999999999999</v>
      </c>
      <c r="J306">
        <v>183.5</v>
      </c>
      <c r="K306">
        <v>164.5</v>
      </c>
      <c r="L306">
        <v>120.4</v>
      </c>
      <c r="M306">
        <v>166.2</v>
      </c>
      <c r="N306">
        <v>154.80000000000001</v>
      </c>
      <c r="O306">
        <v>175.1</v>
      </c>
      <c r="P306">
        <v>167.3</v>
      </c>
      <c r="Q306">
        <v>196.5</v>
      </c>
      <c r="R306">
        <v>159.80000000000001</v>
      </c>
      <c r="S306">
        <v>143.6</v>
      </c>
      <c r="T306">
        <v>157.4</v>
      </c>
      <c r="U306" t="s">
        <v>145</v>
      </c>
      <c r="V306">
        <v>160.80000000000001</v>
      </c>
      <c r="W306">
        <v>153.30000000000001</v>
      </c>
      <c r="X306">
        <v>162.80000000000001</v>
      </c>
      <c r="Y306">
        <v>150.5</v>
      </c>
      <c r="Z306">
        <v>153.9</v>
      </c>
      <c r="AA306">
        <v>160.30000000000001</v>
      </c>
      <c r="AB306">
        <v>159.6</v>
      </c>
      <c r="AC306">
        <v>156</v>
      </c>
      <c r="AD306">
        <v>162.30000000000001</v>
      </c>
    </row>
    <row r="307" spans="1:30" x14ac:dyDescent="0.25">
      <c r="A307" t="s">
        <v>35</v>
      </c>
      <c r="B307">
        <v>2021</v>
      </c>
      <c r="C307" t="s">
        <v>48</v>
      </c>
      <c r="D307">
        <v>146.6</v>
      </c>
      <c r="E307">
        <v>204</v>
      </c>
      <c r="F307">
        <v>172.8</v>
      </c>
      <c r="G307">
        <v>158.4</v>
      </c>
      <c r="H307">
        <v>188</v>
      </c>
      <c r="I307">
        <v>156.69999999999999</v>
      </c>
      <c r="J307">
        <v>162.30000000000001</v>
      </c>
      <c r="K307">
        <v>164.1</v>
      </c>
      <c r="L307">
        <v>119.7</v>
      </c>
      <c r="M307">
        <v>168.8</v>
      </c>
      <c r="N307">
        <v>162.69999999999999</v>
      </c>
      <c r="O307">
        <v>173.9</v>
      </c>
      <c r="P307">
        <v>164</v>
      </c>
      <c r="Q307">
        <v>192.1</v>
      </c>
      <c r="R307">
        <v>164.6</v>
      </c>
      <c r="S307">
        <v>155.30000000000001</v>
      </c>
      <c r="T307">
        <v>163.30000000000001</v>
      </c>
      <c r="U307" t="s">
        <v>145</v>
      </c>
      <c r="V307">
        <v>162.6</v>
      </c>
      <c r="W307">
        <v>157.5</v>
      </c>
      <c r="X307">
        <v>168.4</v>
      </c>
      <c r="Y307">
        <v>154</v>
      </c>
      <c r="Z307">
        <v>157.69999999999999</v>
      </c>
      <c r="AA307">
        <v>163.69999999999999</v>
      </c>
      <c r="AB307">
        <v>160</v>
      </c>
      <c r="AC307">
        <v>160</v>
      </c>
      <c r="AD307">
        <v>163.19999999999999</v>
      </c>
    </row>
    <row r="308" spans="1:30" x14ac:dyDescent="0.25">
      <c r="A308" t="s">
        <v>30</v>
      </c>
      <c r="B308">
        <v>2021</v>
      </c>
      <c r="C308" t="s">
        <v>50</v>
      </c>
      <c r="D308">
        <v>146.1</v>
      </c>
      <c r="E308">
        <v>202.5</v>
      </c>
      <c r="F308">
        <v>170.1</v>
      </c>
      <c r="G308">
        <v>158.4</v>
      </c>
      <c r="H308">
        <v>198.8</v>
      </c>
      <c r="I308">
        <v>152.6</v>
      </c>
      <c r="J308">
        <v>170.4</v>
      </c>
      <c r="K308">
        <v>165.2</v>
      </c>
      <c r="L308">
        <v>121.6</v>
      </c>
      <c r="M308">
        <v>170.6</v>
      </c>
      <c r="N308">
        <v>168.8</v>
      </c>
      <c r="O308">
        <v>173.6</v>
      </c>
      <c r="P308">
        <v>165.5</v>
      </c>
      <c r="Q308">
        <v>191.2</v>
      </c>
      <c r="R308">
        <v>168.9</v>
      </c>
      <c r="S308">
        <v>164.8</v>
      </c>
      <c r="T308">
        <v>168.3</v>
      </c>
      <c r="U308" t="s">
        <v>32</v>
      </c>
      <c r="V308">
        <v>165.5</v>
      </c>
      <c r="W308">
        <v>162</v>
      </c>
      <c r="X308">
        <v>172.5</v>
      </c>
      <c r="Y308">
        <v>159.5</v>
      </c>
      <c r="Z308">
        <v>163.19999999999999</v>
      </c>
      <c r="AA308">
        <v>169</v>
      </c>
      <c r="AB308">
        <v>161.1</v>
      </c>
      <c r="AC308">
        <v>164.7</v>
      </c>
      <c r="AD308">
        <v>166.3</v>
      </c>
    </row>
    <row r="309" spans="1:30" x14ac:dyDescent="0.25">
      <c r="A309" t="s">
        <v>33</v>
      </c>
      <c r="B309">
        <v>2021</v>
      </c>
      <c r="C309" t="s">
        <v>50</v>
      </c>
      <c r="D309">
        <v>150.1</v>
      </c>
      <c r="E309">
        <v>208.4</v>
      </c>
      <c r="F309">
        <v>173</v>
      </c>
      <c r="G309">
        <v>159.19999999999999</v>
      </c>
      <c r="H309">
        <v>176.6</v>
      </c>
      <c r="I309">
        <v>159.30000000000001</v>
      </c>
      <c r="J309">
        <v>214.4</v>
      </c>
      <c r="K309">
        <v>165.3</v>
      </c>
      <c r="L309">
        <v>122.5</v>
      </c>
      <c r="M309">
        <v>166.8</v>
      </c>
      <c r="N309">
        <v>155.4</v>
      </c>
      <c r="O309">
        <v>175.9</v>
      </c>
      <c r="P309">
        <v>171.5</v>
      </c>
      <c r="Q309">
        <v>197</v>
      </c>
      <c r="R309">
        <v>160.80000000000001</v>
      </c>
      <c r="S309">
        <v>144.4</v>
      </c>
      <c r="T309">
        <v>158.30000000000001</v>
      </c>
      <c r="U309" t="s">
        <v>146</v>
      </c>
      <c r="V309">
        <v>162.19999999999999</v>
      </c>
      <c r="W309">
        <v>154.30000000000001</v>
      </c>
      <c r="X309">
        <v>163.5</v>
      </c>
      <c r="Y309">
        <v>152.19999999999999</v>
      </c>
      <c r="Z309">
        <v>155.1</v>
      </c>
      <c r="AA309">
        <v>160.30000000000001</v>
      </c>
      <c r="AB309">
        <v>160.30000000000001</v>
      </c>
      <c r="AC309">
        <v>157</v>
      </c>
      <c r="AD309">
        <v>164.6</v>
      </c>
    </row>
    <row r="310" spans="1:30" x14ac:dyDescent="0.25">
      <c r="A310" t="s">
        <v>35</v>
      </c>
      <c r="B310">
        <v>2021</v>
      </c>
      <c r="C310" t="s">
        <v>50</v>
      </c>
      <c r="D310">
        <v>147.4</v>
      </c>
      <c r="E310">
        <v>204.6</v>
      </c>
      <c r="F310">
        <v>171.2</v>
      </c>
      <c r="G310">
        <v>158.69999999999999</v>
      </c>
      <c r="H310">
        <v>190.6</v>
      </c>
      <c r="I310">
        <v>155.69999999999999</v>
      </c>
      <c r="J310">
        <v>185.3</v>
      </c>
      <c r="K310">
        <v>165.2</v>
      </c>
      <c r="L310">
        <v>121.9</v>
      </c>
      <c r="M310">
        <v>169.3</v>
      </c>
      <c r="N310">
        <v>163.19999999999999</v>
      </c>
      <c r="O310">
        <v>174.7</v>
      </c>
      <c r="P310">
        <v>167.7</v>
      </c>
      <c r="Q310">
        <v>192.7</v>
      </c>
      <c r="R310">
        <v>165.7</v>
      </c>
      <c r="S310">
        <v>156.30000000000001</v>
      </c>
      <c r="T310">
        <v>164.3</v>
      </c>
      <c r="U310" t="s">
        <v>146</v>
      </c>
      <c r="V310">
        <v>164.2</v>
      </c>
      <c r="W310">
        <v>158.4</v>
      </c>
      <c r="X310">
        <v>169.1</v>
      </c>
      <c r="Y310">
        <v>155.69999999999999</v>
      </c>
      <c r="Z310">
        <v>158.6</v>
      </c>
      <c r="AA310">
        <v>163.9</v>
      </c>
      <c r="AB310">
        <v>160.80000000000001</v>
      </c>
      <c r="AC310">
        <v>161</v>
      </c>
      <c r="AD310">
        <v>165.5</v>
      </c>
    </row>
    <row r="311" spans="1:30" x14ac:dyDescent="0.25">
      <c r="A311" t="s">
        <v>30</v>
      </c>
      <c r="B311">
        <v>2021</v>
      </c>
      <c r="C311" t="s">
        <v>53</v>
      </c>
      <c r="D311">
        <v>146.9</v>
      </c>
      <c r="E311">
        <v>199.8</v>
      </c>
      <c r="F311">
        <v>171.5</v>
      </c>
      <c r="G311">
        <v>159.1</v>
      </c>
      <c r="H311">
        <v>198.4</v>
      </c>
      <c r="I311">
        <v>153.19999999999999</v>
      </c>
      <c r="J311">
        <v>183.9</v>
      </c>
      <c r="K311">
        <v>165.4</v>
      </c>
      <c r="L311">
        <v>122.1</v>
      </c>
      <c r="M311">
        <v>170.8</v>
      </c>
      <c r="N311">
        <v>169.1</v>
      </c>
      <c r="O311">
        <v>174.3</v>
      </c>
      <c r="P311">
        <v>167.5</v>
      </c>
      <c r="Q311">
        <v>191.4</v>
      </c>
      <c r="R311">
        <v>170.4</v>
      </c>
      <c r="S311">
        <v>166</v>
      </c>
      <c r="T311">
        <v>169.8</v>
      </c>
      <c r="U311" t="s">
        <v>32</v>
      </c>
      <c r="V311">
        <v>165.3</v>
      </c>
      <c r="W311">
        <v>162.9</v>
      </c>
      <c r="X311">
        <v>173.4</v>
      </c>
      <c r="Y311">
        <v>158.9</v>
      </c>
      <c r="Z311">
        <v>163.80000000000001</v>
      </c>
      <c r="AA311">
        <v>169.3</v>
      </c>
      <c r="AB311">
        <v>162.4</v>
      </c>
      <c r="AC311">
        <v>165.2</v>
      </c>
      <c r="AD311">
        <v>167.6</v>
      </c>
    </row>
    <row r="312" spans="1:30" x14ac:dyDescent="0.25">
      <c r="A312" t="s">
        <v>33</v>
      </c>
      <c r="B312">
        <v>2021</v>
      </c>
      <c r="C312" t="s">
        <v>53</v>
      </c>
      <c r="D312">
        <v>151</v>
      </c>
      <c r="E312">
        <v>204.9</v>
      </c>
      <c r="F312">
        <v>175.4</v>
      </c>
      <c r="G312">
        <v>159.6</v>
      </c>
      <c r="H312">
        <v>175.8</v>
      </c>
      <c r="I312">
        <v>160.30000000000001</v>
      </c>
      <c r="J312">
        <v>229.1</v>
      </c>
      <c r="K312">
        <v>165.1</v>
      </c>
      <c r="L312">
        <v>123.1</v>
      </c>
      <c r="M312">
        <v>167.2</v>
      </c>
      <c r="N312">
        <v>156.1</v>
      </c>
      <c r="O312">
        <v>176.8</v>
      </c>
      <c r="P312">
        <v>173.5</v>
      </c>
      <c r="Q312">
        <v>197</v>
      </c>
      <c r="R312">
        <v>162.30000000000001</v>
      </c>
      <c r="S312">
        <v>145.30000000000001</v>
      </c>
      <c r="T312">
        <v>159.69999999999999</v>
      </c>
      <c r="U312" t="s">
        <v>147</v>
      </c>
      <c r="V312">
        <v>161.6</v>
      </c>
      <c r="W312">
        <v>155.19999999999999</v>
      </c>
      <c r="X312">
        <v>164.2</v>
      </c>
      <c r="Y312">
        <v>151.19999999999999</v>
      </c>
      <c r="Z312">
        <v>156.69999999999999</v>
      </c>
      <c r="AA312">
        <v>160.80000000000001</v>
      </c>
      <c r="AB312">
        <v>161.80000000000001</v>
      </c>
      <c r="AC312">
        <v>157.30000000000001</v>
      </c>
      <c r="AD312">
        <v>165.6</v>
      </c>
    </row>
    <row r="313" spans="1:30" x14ac:dyDescent="0.25">
      <c r="A313" t="s">
        <v>35</v>
      </c>
      <c r="B313">
        <v>2021</v>
      </c>
      <c r="C313" t="s">
        <v>53</v>
      </c>
      <c r="D313">
        <v>148.19999999999999</v>
      </c>
      <c r="E313">
        <v>201.6</v>
      </c>
      <c r="F313">
        <v>173</v>
      </c>
      <c r="G313">
        <v>159.30000000000001</v>
      </c>
      <c r="H313">
        <v>190.1</v>
      </c>
      <c r="I313">
        <v>156.5</v>
      </c>
      <c r="J313">
        <v>199.2</v>
      </c>
      <c r="K313">
        <v>165.3</v>
      </c>
      <c r="L313">
        <v>122.4</v>
      </c>
      <c r="M313">
        <v>169.6</v>
      </c>
      <c r="N313">
        <v>163.69999999999999</v>
      </c>
      <c r="O313">
        <v>175.5</v>
      </c>
      <c r="P313">
        <v>169.7</v>
      </c>
      <c r="Q313">
        <v>192.9</v>
      </c>
      <c r="R313">
        <v>167.2</v>
      </c>
      <c r="S313">
        <v>157.4</v>
      </c>
      <c r="T313">
        <v>165.8</v>
      </c>
      <c r="U313" t="s">
        <v>147</v>
      </c>
      <c r="V313">
        <v>163.9</v>
      </c>
      <c r="W313">
        <v>159.30000000000001</v>
      </c>
      <c r="X313">
        <v>169.9</v>
      </c>
      <c r="Y313">
        <v>154.80000000000001</v>
      </c>
      <c r="Z313">
        <v>159.80000000000001</v>
      </c>
      <c r="AA313">
        <v>164.3</v>
      </c>
      <c r="AB313">
        <v>162.19999999999999</v>
      </c>
      <c r="AC313">
        <v>161.4</v>
      </c>
      <c r="AD313">
        <v>166.7</v>
      </c>
    </row>
    <row r="314" spans="1:30" x14ac:dyDescent="0.25">
      <c r="A314" t="s">
        <v>30</v>
      </c>
      <c r="B314">
        <v>2021</v>
      </c>
      <c r="C314" t="s">
        <v>55</v>
      </c>
      <c r="D314">
        <v>147.4</v>
      </c>
      <c r="E314">
        <v>197</v>
      </c>
      <c r="F314">
        <v>176.5</v>
      </c>
      <c r="G314">
        <v>159.80000000000001</v>
      </c>
      <c r="H314">
        <v>195.8</v>
      </c>
      <c r="I314">
        <v>152</v>
      </c>
      <c r="J314">
        <v>172.3</v>
      </c>
      <c r="K314">
        <v>164.5</v>
      </c>
      <c r="L314">
        <v>120.6</v>
      </c>
      <c r="M314">
        <v>171.7</v>
      </c>
      <c r="N314">
        <v>169.7</v>
      </c>
      <c r="O314">
        <v>175.1</v>
      </c>
      <c r="P314">
        <v>165.8</v>
      </c>
      <c r="Q314">
        <v>190.8</v>
      </c>
      <c r="R314">
        <v>171.8</v>
      </c>
      <c r="S314">
        <v>167.3</v>
      </c>
      <c r="T314">
        <v>171.2</v>
      </c>
      <c r="U314" t="s">
        <v>32</v>
      </c>
      <c r="V314">
        <v>165.6</v>
      </c>
      <c r="W314">
        <v>163.9</v>
      </c>
      <c r="X314">
        <v>174</v>
      </c>
      <c r="Y314">
        <v>160.1</v>
      </c>
      <c r="Z314">
        <v>164.5</v>
      </c>
      <c r="AA314">
        <v>169.7</v>
      </c>
      <c r="AB314">
        <v>162.80000000000001</v>
      </c>
      <c r="AC314">
        <v>166</v>
      </c>
      <c r="AD314">
        <v>167</v>
      </c>
    </row>
    <row r="315" spans="1:30" x14ac:dyDescent="0.25">
      <c r="A315" t="s">
        <v>33</v>
      </c>
      <c r="B315">
        <v>2021</v>
      </c>
      <c r="C315" t="s">
        <v>55</v>
      </c>
      <c r="D315">
        <v>151.6</v>
      </c>
      <c r="E315">
        <v>202.2</v>
      </c>
      <c r="F315">
        <v>180</v>
      </c>
      <c r="G315">
        <v>160</v>
      </c>
      <c r="H315">
        <v>173.5</v>
      </c>
      <c r="I315">
        <v>158.30000000000001</v>
      </c>
      <c r="J315">
        <v>219.5</v>
      </c>
      <c r="K315">
        <v>164.2</v>
      </c>
      <c r="L315">
        <v>121.9</v>
      </c>
      <c r="M315">
        <v>168.2</v>
      </c>
      <c r="N315">
        <v>156.5</v>
      </c>
      <c r="O315">
        <v>178.2</v>
      </c>
      <c r="P315">
        <v>172.2</v>
      </c>
      <c r="Q315">
        <v>196.8</v>
      </c>
      <c r="R315">
        <v>163.30000000000001</v>
      </c>
      <c r="S315">
        <v>146.69999999999999</v>
      </c>
      <c r="T315">
        <v>160.69999999999999</v>
      </c>
      <c r="U315" t="s">
        <v>148</v>
      </c>
      <c r="V315">
        <v>161.69999999999999</v>
      </c>
      <c r="W315">
        <v>156</v>
      </c>
      <c r="X315">
        <v>165.1</v>
      </c>
      <c r="Y315">
        <v>151.80000000000001</v>
      </c>
      <c r="Z315">
        <v>157.6</v>
      </c>
      <c r="AA315">
        <v>160.6</v>
      </c>
      <c r="AB315">
        <v>162.4</v>
      </c>
      <c r="AC315">
        <v>157.80000000000001</v>
      </c>
      <c r="AD315">
        <v>165.2</v>
      </c>
    </row>
    <row r="316" spans="1:30" x14ac:dyDescent="0.25">
      <c r="A316" t="s">
        <v>35</v>
      </c>
      <c r="B316">
        <v>2021</v>
      </c>
      <c r="C316" t="s">
        <v>55</v>
      </c>
      <c r="D316">
        <v>148.69999999999999</v>
      </c>
      <c r="E316">
        <v>198.8</v>
      </c>
      <c r="F316">
        <v>177.9</v>
      </c>
      <c r="G316">
        <v>159.9</v>
      </c>
      <c r="H316">
        <v>187.6</v>
      </c>
      <c r="I316">
        <v>154.9</v>
      </c>
      <c r="J316">
        <v>188.3</v>
      </c>
      <c r="K316">
        <v>164.4</v>
      </c>
      <c r="L316">
        <v>121</v>
      </c>
      <c r="M316">
        <v>170.5</v>
      </c>
      <c r="N316">
        <v>164.2</v>
      </c>
      <c r="O316">
        <v>176.5</v>
      </c>
      <c r="P316">
        <v>168.2</v>
      </c>
      <c r="Q316">
        <v>192.4</v>
      </c>
      <c r="R316">
        <v>168.5</v>
      </c>
      <c r="S316">
        <v>158.69999999999999</v>
      </c>
      <c r="T316">
        <v>167</v>
      </c>
      <c r="U316" t="s">
        <v>148</v>
      </c>
      <c r="V316">
        <v>164.1</v>
      </c>
      <c r="W316">
        <v>160.19999999999999</v>
      </c>
      <c r="X316">
        <v>170.6</v>
      </c>
      <c r="Y316">
        <v>155.69999999999999</v>
      </c>
      <c r="Z316">
        <v>160.6</v>
      </c>
      <c r="AA316">
        <v>164.4</v>
      </c>
      <c r="AB316">
        <v>162.6</v>
      </c>
      <c r="AC316">
        <v>162</v>
      </c>
      <c r="AD316">
        <v>166.2</v>
      </c>
    </row>
    <row r="317" spans="1:30" hidden="1" x14ac:dyDescent="0.25">
      <c r="A317" t="s">
        <v>30</v>
      </c>
      <c r="B317">
        <v>2022</v>
      </c>
      <c r="C317" t="s">
        <v>31</v>
      </c>
      <c r="D317">
        <v>148.30000000000001</v>
      </c>
      <c r="E317">
        <v>196.9</v>
      </c>
      <c r="F317">
        <v>178</v>
      </c>
      <c r="G317">
        <v>160.5</v>
      </c>
      <c r="H317">
        <v>192.6</v>
      </c>
      <c r="I317">
        <v>151.19999999999999</v>
      </c>
      <c r="J317">
        <v>159.19999999999999</v>
      </c>
      <c r="K317">
        <v>164</v>
      </c>
      <c r="L317">
        <v>119.3</v>
      </c>
      <c r="M317">
        <v>173.3</v>
      </c>
      <c r="N317">
        <v>169.8</v>
      </c>
      <c r="O317">
        <v>175.8</v>
      </c>
      <c r="P317">
        <v>164.1</v>
      </c>
      <c r="Q317">
        <v>190.7</v>
      </c>
      <c r="R317">
        <v>173.2</v>
      </c>
      <c r="S317">
        <v>169.3</v>
      </c>
      <c r="T317">
        <v>172.7</v>
      </c>
      <c r="U317" t="s">
        <v>32</v>
      </c>
      <c r="V317">
        <v>165.8</v>
      </c>
      <c r="W317">
        <v>164.9</v>
      </c>
      <c r="X317">
        <v>174.7</v>
      </c>
      <c r="Y317">
        <v>160.80000000000001</v>
      </c>
      <c r="Z317">
        <v>164.9</v>
      </c>
      <c r="AA317">
        <v>169.9</v>
      </c>
      <c r="AB317">
        <v>163.19999999999999</v>
      </c>
      <c r="AC317">
        <v>166.6</v>
      </c>
      <c r="AD317">
        <v>166.4</v>
      </c>
    </row>
    <row r="318" spans="1:30" hidden="1" x14ac:dyDescent="0.25">
      <c r="A318" t="s">
        <v>33</v>
      </c>
      <c r="B318">
        <v>2022</v>
      </c>
      <c r="C318" t="s">
        <v>31</v>
      </c>
      <c r="D318">
        <v>152.19999999999999</v>
      </c>
      <c r="E318">
        <v>202.1</v>
      </c>
      <c r="F318">
        <v>180.1</v>
      </c>
      <c r="G318">
        <v>160.4</v>
      </c>
      <c r="H318">
        <v>171</v>
      </c>
      <c r="I318">
        <v>156.5</v>
      </c>
      <c r="J318">
        <v>203.6</v>
      </c>
      <c r="K318">
        <v>163.80000000000001</v>
      </c>
      <c r="L318">
        <v>121.3</v>
      </c>
      <c r="M318">
        <v>169.8</v>
      </c>
      <c r="N318">
        <v>156.6</v>
      </c>
      <c r="O318">
        <v>179</v>
      </c>
      <c r="P318">
        <v>170.3</v>
      </c>
      <c r="Q318">
        <v>196.4</v>
      </c>
      <c r="R318">
        <v>164.7</v>
      </c>
      <c r="S318">
        <v>148.5</v>
      </c>
      <c r="T318">
        <v>162.19999999999999</v>
      </c>
      <c r="U318" t="s">
        <v>149</v>
      </c>
      <c r="V318">
        <v>161.6</v>
      </c>
      <c r="W318">
        <v>156.80000000000001</v>
      </c>
      <c r="X318">
        <v>166.1</v>
      </c>
      <c r="Y318">
        <v>152.69999999999999</v>
      </c>
      <c r="Z318">
        <v>158.4</v>
      </c>
      <c r="AA318">
        <v>161</v>
      </c>
      <c r="AB318">
        <v>162.80000000000001</v>
      </c>
      <c r="AC318">
        <v>158.6</v>
      </c>
      <c r="AD318">
        <v>165</v>
      </c>
    </row>
    <row r="319" spans="1:30" hidden="1" x14ac:dyDescent="0.25">
      <c r="A319" t="s">
        <v>35</v>
      </c>
      <c r="B319">
        <v>2022</v>
      </c>
      <c r="C319" t="s">
        <v>31</v>
      </c>
      <c r="D319">
        <v>149.5</v>
      </c>
      <c r="E319">
        <v>198.7</v>
      </c>
      <c r="F319">
        <v>178.8</v>
      </c>
      <c r="G319">
        <v>160.5</v>
      </c>
      <c r="H319">
        <v>184.7</v>
      </c>
      <c r="I319">
        <v>153.69999999999999</v>
      </c>
      <c r="J319">
        <v>174.3</v>
      </c>
      <c r="K319">
        <v>163.9</v>
      </c>
      <c r="L319">
        <v>120</v>
      </c>
      <c r="M319">
        <v>172.1</v>
      </c>
      <c r="N319">
        <v>164.3</v>
      </c>
      <c r="O319">
        <v>177.3</v>
      </c>
      <c r="P319">
        <v>166.4</v>
      </c>
      <c r="Q319">
        <v>192.2</v>
      </c>
      <c r="R319">
        <v>169.9</v>
      </c>
      <c r="S319">
        <v>160.69999999999999</v>
      </c>
      <c r="T319">
        <v>168.5</v>
      </c>
      <c r="U319" t="s">
        <v>149</v>
      </c>
      <c r="V319">
        <v>164.2</v>
      </c>
      <c r="W319">
        <v>161.1</v>
      </c>
      <c r="X319">
        <v>171.4</v>
      </c>
      <c r="Y319">
        <v>156.5</v>
      </c>
      <c r="Z319">
        <v>161.19999999999999</v>
      </c>
      <c r="AA319">
        <v>164.7</v>
      </c>
      <c r="AB319">
        <v>163</v>
      </c>
      <c r="AC319">
        <v>162.69999999999999</v>
      </c>
      <c r="AD319">
        <v>165.7</v>
      </c>
    </row>
    <row r="320" spans="1:30" hidden="1" x14ac:dyDescent="0.25">
      <c r="A320" t="s">
        <v>30</v>
      </c>
      <c r="B320">
        <v>2022</v>
      </c>
      <c r="C320" t="s">
        <v>36</v>
      </c>
      <c r="D320">
        <v>148.80000000000001</v>
      </c>
      <c r="E320">
        <v>198.1</v>
      </c>
      <c r="F320">
        <v>175.5</v>
      </c>
      <c r="G320">
        <v>160.69999999999999</v>
      </c>
      <c r="H320">
        <v>192.6</v>
      </c>
      <c r="I320">
        <v>151.4</v>
      </c>
      <c r="J320">
        <v>155.19999999999999</v>
      </c>
      <c r="K320">
        <v>163.9</v>
      </c>
      <c r="L320">
        <v>118.1</v>
      </c>
      <c r="M320">
        <v>175.4</v>
      </c>
      <c r="N320">
        <v>170.5</v>
      </c>
      <c r="O320">
        <v>176.3</v>
      </c>
      <c r="P320">
        <v>163.9</v>
      </c>
      <c r="Q320">
        <v>191.5</v>
      </c>
      <c r="R320">
        <v>174.1</v>
      </c>
      <c r="S320">
        <v>171</v>
      </c>
      <c r="T320">
        <v>173.7</v>
      </c>
      <c r="U320" t="s">
        <v>32</v>
      </c>
      <c r="V320">
        <v>167.4</v>
      </c>
      <c r="W320">
        <v>165.7</v>
      </c>
      <c r="X320">
        <v>175.3</v>
      </c>
      <c r="Y320">
        <v>161.19999999999999</v>
      </c>
      <c r="Z320">
        <v>165.5</v>
      </c>
      <c r="AA320">
        <v>170.3</v>
      </c>
      <c r="AB320">
        <v>164.5</v>
      </c>
      <c r="AC320">
        <v>167.3</v>
      </c>
      <c r="AD320">
        <v>166.7</v>
      </c>
    </row>
    <row r="321" spans="1:30" hidden="1" x14ac:dyDescent="0.25">
      <c r="A321" t="s">
        <v>33</v>
      </c>
      <c r="B321">
        <v>2022</v>
      </c>
      <c r="C321" t="s">
        <v>36</v>
      </c>
      <c r="D321">
        <v>152.5</v>
      </c>
      <c r="E321">
        <v>205.2</v>
      </c>
      <c r="F321">
        <v>176.4</v>
      </c>
      <c r="G321">
        <v>160.6</v>
      </c>
      <c r="H321">
        <v>171.5</v>
      </c>
      <c r="I321">
        <v>156.4</v>
      </c>
      <c r="J321">
        <v>198</v>
      </c>
      <c r="K321">
        <v>163.19999999999999</v>
      </c>
      <c r="L321">
        <v>120.6</v>
      </c>
      <c r="M321">
        <v>172.2</v>
      </c>
      <c r="N321">
        <v>156.69999999999999</v>
      </c>
      <c r="O321">
        <v>180</v>
      </c>
      <c r="P321">
        <v>170.2</v>
      </c>
      <c r="Q321">
        <v>196.5</v>
      </c>
      <c r="R321">
        <v>165.7</v>
      </c>
      <c r="S321">
        <v>150.4</v>
      </c>
      <c r="T321">
        <v>163.4</v>
      </c>
      <c r="U321" t="s">
        <v>150</v>
      </c>
      <c r="V321">
        <v>163</v>
      </c>
      <c r="W321">
        <v>157.4</v>
      </c>
      <c r="X321">
        <v>167.2</v>
      </c>
      <c r="Y321">
        <v>153.1</v>
      </c>
      <c r="Z321">
        <v>159.5</v>
      </c>
      <c r="AA321">
        <v>162</v>
      </c>
      <c r="AB321">
        <v>164.2</v>
      </c>
      <c r="AC321">
        <v>159.4</v>
      </c>
      <c r="AD321">
        <v>165.5</v>
      </c>
    </row>
    <row r="322" spans="1:30" hidden="1" x14ac:dyDescent="0.25">
      <c r="A322" t="s">
        <v>35</v>
      </c>
      <c r="B322">
        <v>2022</v>
      </c>
      <c r="C322" t="s">
        <v>36</v>
      </c>
      <c r="D322">
        <v>150</v>
      </c>
      <c r="E322">
        <v>200.6</v>
      </c>
      <c r="F322">
        <v>175.8</v>
      </c>
      <c r="G322">
        <v>160.69999999999999</v>
      </c>
      <c r="H322">
        <v>184.9</v>
      </c>
      <c r="I322">
        <v>153.69999999999999</v>
      </c>
      <c r="J322">
        <v>169.7</v>
      </c>
      <c r="K322">
        <v>163.69999999999999</v>
      </c>
      <c r="L322">
        <v>118.9</v>
      </c>
      <c r="M322">
        <v>174.3</v>
      </c>
      <c r="N322">
        <v>164.7</v>
      </c>
      <c r="O322">
        <v>178</v>
      </c>
      <c r="P322">
        <v>166.2</v>
      </c>
      <c r="Q322">
        <v>192.8</v>
      </c>
      <c r="R322">
        <v>170.8</v>
      </c>
      <c r="S322">
        <v>162.4</v>
      </c>
      <c r="T322">
        <v>169.6</v>
      </c>
      <c r="U322" t="s">
        <v>150</v>
      </c>
      <c r="V322">
        <v>165.7</v>
      </c>
      <c r="W322">
        <v>161.80000000000001</v>
      </c>
      <c r="X322">
        <v>172.2</v>
      </c>
      <c r="Y322">
        <v>156.9</v>
      </c>
      <c r="Z322">
        <v>162.1</v>
      </c>
      <c r="AA322">
        <v>165.4</v>
      </c>
      <c r="AB322">
        <v>164.4</v>
      </c>
      <c r="AC322">
        <v>163.5</v>
      </c>
      <c r="AD322">
        <v>166.1</v>
      </c>
    </row>
    <row r="323" spans="1:30" hidden="1" x14ac:dyDescent="0.25">
      <c r="A323" t="s">
        <v>30</v>
      </c>
      <c r="B323">
        <v>2022</v>
      </c>
      <c r="C323" t="s">
        <v>38</v>
      </c>
      <c r="D323">
        <v>150.19999999999999</v>
      </c>
      <c r="E323">
        <v>208</v>
      </c>
      <c r="F323">
        <v>167.9</v>
      </c>
      <c r="G323">
        <v>162</v>
      </c>
      <c r="H323">
        <v>203.1</v>
      </c>
      <c r="I323">
        <v>155.9</v>
      </c>
      <c r="J323">
        <v>155.80000000000001</v>
      </c>
      <c r="K323">
        <v>164.2</v>
      </c>
      <c r="L323">
        <v>118.1</v>
      </c>
      <c r="M323">
        <v>178.7</v>
      </c>
      <c r="N323">
        <v>171.2</v>
      </c>
      <c r="O323">
        <v>177.4</v>
      </c>
      <c r="P323">
        <v>166.6</v>
      </c>
      <c r="Q323">
        <v>192.3</v>
      </c>
      <c r="R323">
        <v>175.4</v>
      </c>
      <c r="S323">
        <v>173.2</v>
      </c>
      <c r="T323">
        <v>175.1</v>
      </c>
      <c r="U323" t="s">
        <v>32</v>
      </c>
      <c r="V323">
        <v>168.9</v>
      </c>
      <c r="W323">
        <v>166.5</v>
      </c>
      <c r="X323">
        <v>176</v>
      </c>
      <c r="Y323">
        <v>162</v>
      </c>
      <c r="Z323">
        <v>166.6</v>
      </c>
      <c r="AA323">
        <v>170.6</v>
      </c>
      <c r="AB323">
        <v>167.4</v>
      </c>
      <c r="AC323">
        <v>168.3</v>
      </c>
      <c r="AD323">
        <v>168.7</v>
      </c>
    </row>
    <row r="324" spans="1:30" hidden="1" x14ac:dyDescent="0.25">
      <c r="A324" t="s">
        <v>33</v>
      </c>
      <c r="B324">
        <v>2022</v>
      </c>
      <c r="C324" t="s">
        <v>38</v>
      </c>
      <c r="D324">
        <v>153.69999999999999</v>
      </c>
      <c r="E324">
        <v>215.8</v>
      </c>
      <c r="F324">
        <v>167.7</v>
      </c>
      <c r="G324">
        <v>162.6</v>
      </c>
      <c r="H324">
        <v>180</v>
      </c>
      <c r="I324">
        <v>159.6</v>
      </c>
      <c r="J324">
        <v>188.4</v>
      </c>
      <c r="K324">
        <v>163.4</v>
      </c>
      <c r="L324">
        <v>120.3</v>
      </c>
      <c r="M324">
        <v>174.7</v>
      </c>
      <c r="N324">
        <v>157.1</v>
      </c>
      <c r="O324">
        <v>181.5</v>
      </c>
      <c r="P324">
        <v>171.5</v>
      </c>
      <c r="Q324">
        <v>197.5</v>
      </c>
      <c r="R324">
        <v>167.1</v>
      </c>
      <c r="S324">
        <v>152.6</v>
      </c>
      <c r="T324">
        <v>164.9</v>
      </c>
      <c r="U324" t="s">
        <v>151</v>
      </c>
      <c r="V324">
        <v>164.5</v>
      </c>
      <c r="W324">
        <v>158.6</v>
      </c>
      <c r="X324">
        <v>168.2</v>
      </c>
      <c r="Y324">
        <v>154.19999999999999</v>
      </c>
      <c r="Z324">
        <v>160.80000000000001</v>
      </c>
      <c r="AA324">
        <v>162.69999999999999</v>
      </c>
      <c r="AB324">
        <v>166.8</v>
      </c>
      <c r="AC324">
        <v>160.6</v>
      </c>
      <c r="AD324">
        <v>166.5</v>
      </c>
    </row>
    <row r="325" spans="1:30" hidden="1" x14ac:dyDescent="0.25">
      <c r="A325" t="s">
        <v>35</v>
      </c>
      <c r="B325">
        <v>2022</v>
      </c>
      <c r="C325" t="s">
        <v>38</v>
      </c>
      <c r="D325">
        <v>151.30000000000001</v>
      </c>
      <c r="E325">
        <v>210.7</v>
      </c>
      <c r="F325">
        <v>167.8</v>
      </c>
      <c r="G325">
        <v>162.19999999999999</v>
      </c>
      <c r="H325">
        <v>194.6</v>
      </c>
      <c r="I325">
        <v>157.6</v>
      </c>
      <c r="J325">
        <v>166.9</v>
      </c>
      <c r="K325">
        <v>163.9</v>
      </c>
      <c r="L325">
        <v>118.8</v>
      </c>
      <c r="M325">
        <v>177.4</v>
      </c>
      <c r="N325">
        <v>165.3</v>
      </c>
      <c r="O325">
        <v>179.3</v>
      </c>
      <c r="P325">
        <v>168.4</v>
      </c>
      <c r="Q325">
        <v>193.7</v>
      </c>
      <c r="R325">
        <v>172.1</v>
      </c>
      <c r="S325">
        <v>164.6</v>
      </c>
      <c r="T325">
        <v>171.1</v>
      </c>
      <c r="U325" t="s">
        <v>151</v>
      </c>
      <c r="V325">
        <v>167.2</v>
      </c>
      <c r="W325">
        <v>162.80000000000001</v>
      </c>
      <c r="X325">
        <v>173</v>
      </c>
      <c r="Y325">
        <v>157.9</v>
      </c>
      <c r="Z325">
        <v>163.30000000000001</v>
      </c>
      <c r="AA325">
        <v>166</v>
      </c>
      <c r="AB325">
        <v>167.2</v>
      </c>
      <c r="AC325">
        <v>164.6</v>
      </c>
      <c r="AD325">
        <v>167.7</v>
      </c>
    </row>
    <row r="326" spans="1:30" hidden="1" x14ac:dyDescent="0.25">
      <c r="A326" t="s">
        <v>30</v>
      </c>
      <c r="B326">
        <v>2022</v>
      </c>
      <c r="C326" t="s">
        <v>39</v>
      </c>
      <c r="D326">
        <v>151.80000000000001</v>
      </c>
      <c r="E326">
        <v>209.7</v>
      </c>
      <c r="F326">
        <v>164.5</v>
      </c>
      <c r="G326">
        <v>163.80000000000001</v>
      </c>
      <c r="H326">
        <v>207.4</v>
      </c>
      <c r="I326">
        <v>169.7</v>
      </c>
      <c r="J326">
        <v>153.6</v>
      </c>
      <c r="K326">
        <v>165.1</v>
      </c>
      <c r="L326">
        <v>118.2</v>
      </c>
      <c r="M326">
        <v>182.9</v>
      </c>
      <c r="N326">
        <v>172.4</v>
      </c>
      <c r="O326">
        <v>178.9</v>
      </c>
      <c r="P326">
        <v>168.6</v>
      </c>
      <c r="Q326">
        <v>192.8</v>
      </c>
      <c r="R326">
        <v>177.5</v>
      </c>
      <c r="S326">
        <v>175.1</v>
      </c>
      <c r="T326">
        <v>177.1</v>
      </c>
      <c r="U326" t="s">
        <v>32</v>
      </c>
      <c r="V326">
        <v>173.3</v>
      </c>
      <c r="W326">
        <v>167.7</v>
      </c>
      <c r="X326">
        <v>177</v>
      </c>
      <c r="Y326">
        <v>166.2</v>
      </c>
      <c r="Z326">
        <v>167.2</v>
      </c>
      <c r="AA326">
        <v>170.9</v>
      </c>
      <c r="AB326">
        <v>169</v>
      </c>
      <c r="AC326">
        <v>170.2</v>
      </c>
      <c r="AD326">
        <v>170.8</v>
      </c>
    </row>
    <row r="327" spans="1:30" hidden="1" x14ac:dyDescent="0.25">
      <c r="A327" t="s">
        <v>33</v>
      </c>
      <c r="B327">
        <v>2022</v>
      </c>
      <c r="C327" t="s">
        <v>39</v>
      </c>
      <c r="D327">
        <v>155.4</v>
      </c>
      <c r="E327">
        <v>215.8</v>
      </c>
      <c r="F327">
        <v>164.6</v>
      </c>
      <c r="G327">
        <v>164.2</v>
      </c>
      <c r="H327">
        <v>186</v>
      </c>
      <c r="I327">
        <v>175.9</v>
      </c>
      <c r="J327">
        <v>190.7</v>
      </c>
      <c r="K327">
        <v>164</v>
      </c>
      <c r="L327">
        <v>120.5</v>
      </c>
      <c r="M327">
        <v>178</v>
      </c>
      <c r="N327">
        <v>157.5</v>
      </c>
      <c r="O327">
        <v>183.3</v>
      </c>
      <c r="P327">
        <v>174.5</v>
      </c>
      <c r="Q327">
        <v>197.1</v>
      </c>
      <c r="R327">
        <v>168.4</v>
      </c>
      <c r="S327">
        <v>154.5</v>
      </c>
      <c r="T327">
        <v>166.3</v>
      </c>
      <c r="U327" t="s">
        <v>152</v>
      </c>
      <c r="V327">
        <v>170.5</v>
      </c>
      <c r="W327">
        <v>159.80000000000001</v>
      </c>
      <c r="X327">
        <v>169</v>
      </c>
      <c r="Y327">
        <v>159.30000000000001</v>
      </c>
      <c r="Z327">
        <v>162.19999999999999</v>
      </c>
      <c r="AA327">
        <v>164</v>
      </c>
      <c r="AB327">
        <v>168.4</v>
      </c>
      <c r="AC327">
        <v>163.1</v>
      </c>
      <c r="AD327">
        <v>169.2</v>
      </c>
    </row>
    <row r="328" spans="1:30" hidden="1" x14ac:dyDescent="0.25">
      <c r="A328" t="s">
        <v>35</v>
      </c>
      <c r="B328">
        <v>2022</v>
      </c>
      <c r="C328" t="s">
        <v>39</v>
      </c>
      <c r="D328">
        <v>152.9</v>
      </c>
      <c r="E328">
        <v>211.8</v>
      </c>
      <c r="F328">
        <v>164.5</v>
      </c>
      <c r="G328">
        <v>163.9</v>
      </c>
      <c r="H328">
        <v>199.5</v>
      </c>
      <c r="I328">
        <v>172.6</v>
      </c>
      <c r="J328">
        <v>166.2</v>
      </c>
      <c r="K328">
        <v>164.7</v>
      </c>
      <c r="L328">
        <v>119</v>
      </c>
      <c r="M328">
        <v>181.3</v>
      </c>
      <c r="N328">
        <v>166.2</v>
      </c>
      <c r="O328">
        <v>180.9</v>
      </c>
      <c r="P328">
        <v>170.8</v>
      </c>
      <c r="Q328">
        <v>193.9</v>
      </c>
      <c r="R328">
        <v>173.9</v>
      </c>
      <c r="S328">
        <v>166.5</v>
      </c>
      <c r="T328">
        <v>172.8</v>
      </c>
      <c r="U328" t="s">
        <v>152</v>
      </c>
      <c r="V328">
        <v>172.2</v>
      </c>
      <c r="W328">
        <v>164</v>
      </c>
      <c r="X328">
        <v>174</v>
      </c>
      <c r="Y328">
        <v>162.6</v>
      </c>
      <c r="Z328">
        <v>164.4</v>
      </c>
      <c r="AA328">
        <v>166.9</v>
      </c>
      <c r="AB328">
        <v>168.8</v>
      </c>
      <c r="AC328">
        <v>166.8</v>
      </c>
      <c r="AD328">
        <v>170.1</v>
      </c>
    </row>
    <row r="329" spans="1:30" hidden="1" x14ac:dyDescent="0.25">
      <c r="A329" t="s">
        <v>30</v>
      </c>
      <c r="B329">
        <v>2022</v>
      </c>
      <c r="C329" t="s">
        <v>41</v>
      </c>
      <c r="D329">
        <v>152.9</v>
      </c>
      <c r="E329">
        <v>214.7</v>
      </c>
      <c r="F329">
        <v>161.4</v>
      </c>
      <c r="G329">
        <v>164.6</v>
      </c>
      <c r="H329">
        <v>209.9</v>
      </c>
      <c r="I329">
        <v>168</v>
      </c>
      <c r="J329">
        <v>160.4</v>
      </c>
      <c r="K329">
        <v>165</v>
      </c>
      <c r="L329">
        <v>118.9</v>
      </c>
      <c r="M329">
        <v>186.6</v>
      </c>
      <c r="N329">
        <v>173.2</v>
      </c>
      <c r="O329">
        <v>180.4</v>
      </c>
      <c r="P329">
        <v>170.8</v>
      </c>
      <c r="Q329">
        <v>192.9</v>
      </c>
      <c r="R329">
        <v>179.3</v>
      </c>
      <c r="S329">
        <v>177.2</v>
      </c>
      <c r="T329">
        <v>179</v>
      </c>
      <c r="U329" t="s">
        <v>32</v>
      </c>
      <c r="V329">
        <v>175.3</v>
      </c>
      <c r="W329">
        <v>168.9</v>
      </c>
      <c r="X329">
        <v>177.7</v>
      </c>
      <c r="Y329">
        <v>167.1</v>
      </c>
      <c r="Z329">
        <v>167.6</v>
      </c>
      <c r="AA329">
        <v>171.8</v>
      </c>
      <c r="AB329">
        <v>168.5</v>
      </c>
      <c r="AC329">
        <v>170.9</v>
      </c>
      <c r="AD329">
        <v>172.5</v>
      </c>
    </row>
    <row r="330" spans="1:30" hidden="1" x14ac:dyDescent="0.25">
      <c r="A330" t="s">
        <v>33</v>
      </c>
      <c r="B330">
        <v>2022</v>
      </c>
      <c r="C330" t="s">
        <v>41</v>
      </c>
      <c r="D330">
        <v>156.69999999999999</v>
      </c>
      <c r="E330">
        <v>221.2</v>
      </c>
      <c r="F330">
        <v>164.1</v>
      </c>
      <c r="G330">
        <v>165.4</v>
      </c>
      <c r="H330">
        <v>189.5</v>
      </c>
      <c r="I330">
        <v>174.5</v>
      </c>
      <c r="J330">
        <v>203.2</v>
      </c>
      <c r="K330">
        <v>164.1</v>
      </c>
      <c r="L330">
        <v>121.2</v>
      </c>
      <c r="M330">
        <v>181.4</v>
      </c>
      <c r="N330">
        <v>158.5</v>
      </c>
      <c r="O330">
        <v>184.9</v>
      </c>
      <c r="P330">
        <v>177.5</v>
      </c>
      <c r="Q330">
        <v>197.5</v>
      </c>
      <c r="R330">
        <v>170</v>
      </c>
      <c r="S330">
        <v>155.9</v>
      </c>
      <c r="T330">
        <v>167.8</v>
      </c>
      <c r="U330" t="s">
        <v>153</v>
      </c>
      <c r="V330">
        <v>173.5</v>
      </c>
      <c r="W330">
        <v>161.1</v>
      </c>
      <c r="X330">
        <v>170.1</v>
      </c>
      <c r="Y330">
        <v>159.4</v>
      </c>
      <c r="Z330">
        <v>163.19999999999999</v>
      </c>
      <c r="AA330">
        <v>165.2</v>
      </c>
      <c r="AB330">
        <v>168.2</v>
      </c>
      <c r="AC330">
        <v>163.80000000000001</v>
      </c>
      <c r="AD330">
        <v>170.8</v>
      </c>
    </row>
    <row r="331" spans="1:30" hidden="1" x14ac:dyDescent="0.25">
      <c r="A331" t="s">
        <v>35</v>
      </c>
      <c r="B331">
        <v>2022</v>
      </c>
      <c r="C331" t="s">
        <v>41</v>
      </c>
      <c r="D331">
        <v>154.1</v>
      </c>
      <c r="E331">
        <v>217</v>
      </c>
      <c r="F331">
        <v>162.4</v>
      </c>
      <c r="G331">
        <v>164.9</v>
      </c>
      <c r="H331">
        <v>202.4</v>
      </c>
      <c r="I331">
        <v>171</v>
      </c>
      <c r="J331">
        <v>174.9</v>
      </c>
      <c r="K331">
        <v>164.7</v>
      </c>
      <c r="L331">
        <v>119.7</v>
      </c>
      <c r="M331">
        <v>184.9</v>
      </c>
      <c r="N331">
        <v>167.1</v>
      </c>
      <c r="O331">
        <v>182.5</v>
      </c>
      <c r="P331">
        <v>173.3</v>
      </c>
      <c r="Q331">
        <v>194.1</v>
      </c>
      <c r="R331">
        <v>175.6</v>
      </c>
      <c r="S331">
        <v>168.4</v>
      </c>
      <c r="T331">
        <v>174.6</v>
      </c>
      <c r="U331" t="s">
        <v>153</v>
      </c>
      <c r="V331">
        <v>174.6</v>
      </c>
      <c r="W331">
        <v>165.2</v>
      </c>
      <c r="X331">
        <v>174.8</v>
      </c>
      <c r="Y331">
        <v>163</v>
      </c>
      <c r="Z331">
        <v>165.1</v>
      </c>
      <c r="AA331">
        <v>167.9</v>
      </c>
      <c r="AB331">
        <v>168.4</v>
      </c>
      <c r="AC331">
        <v>167.5</v>
      </c>
      <c r="AD331">
        <v>171.7</v>
      </c>
    </row>
    <row r="332" spans="1:30" hidden="1" x14ac:dyDescent="0.25">
      <c r="A332" t="s">
        <v>30</v>
      </c>
      <c r="B332">
        <v>2022</v>
      </c>
      <c r="C332" t="s">
        <v>42</v>
      </c>
      <c r="D332">
        <v>153.80000000000001</v>
      </c>
      <c r="E332">
        <v>217.2</v>
      </c>
      <c r="F332">
        <v>169.6</v>
      </c>
      <c r="G332">
        <v>165.4</v>
      </c>
      <c r="H332">
        <v>208.1</v>
      </c>
      <c r="I332">
        <v>165.8</v>
      </c>
      <c r="J332">
        <v>167.3</v>
      </c>
      <c r="K332">
        <v>164.6</v>
      </c>
      <c r="L332">
        <v>119.1</v>
      </c>
      <c r="M332">
        <v>188.9</v>
      </c>
      <c r="N332">
        <v>174.2</v>
      </c>
      <c r="O332">
        <v>181.9</v>
      </c>
      <c r="P332">
        <v>172.4</v>
      </c>
      <c r="Q332">
        <v>192.9</v>
      </c>
      <c r="R332">
        <v>180.7</v>
      </c>
      <c r="S332">
        <v>178.7</v>
      </c>
      <c r="T332">
        <v>180.4</v>
      </c>
      <c r="U332" t="s">
        <v>32</v>
      </c>
      <c r="V332">
        <v>176.7</v>
      </c>
      <c r="W332">
        <v>170.3</v>
      </c>
      <c r="X332">
        <v>178.2</v>
      </c>
      <c r="Y332">
        <v>165.5</v>
      </c>
      <c r="Z332">
        <v>168</v>
      </c>
      <c r="AA332">
        <v>172.6</v>
      </c>
      <c r="AB332">
        <v>169.5</v>
      </c>
      <c r="AC332">
        <v>171</v>
      </c>
      <c r="AD332">
        <v>173.6</v>
      </c>
    </row>
    <row r="333" spans="1:30" hidden="1" x14ac:dyDescent="0.25">
      <c r="A333" t="s">
        <v>33</v>
      </c>
      <c r="B333">
        <v>2022</v>
      </c>
      <c r="C333" t="s">
        <v>42</v>
      </c>
      <c r="D333">
        <v>157.5</v>
      </c>
      <c r="E333">
        <v>223.4</v>
      </c>
      <c r="F333">
        <v>172.8</v>
      </c>
      <c r="G333">
        <v>166.4</v>
      </c>
      <c r="H333">
        <v>188.6</v>
      </c>
      <c r="I333">
        <v>174.1</v>
      </c>
      <c r="J333">
        <v>211.5</v>
      </c>
      <c r="K333">
        <v>163.6</v>
      </c>
      <c r="L333">
        <v>121.4</v>
      </c>
      <c r="M333">
        <v>183.5</v>
      </c>
      <c r="N333">
        <v>159.1</v>
      </c>
      <c r="O333">
        <v>186.3</v>
      </c>
      <c r="P333">
        <v>179.3</v>
      </c>
      <c r="Q333">
        <v>198.3</v>
      </c>
      <c r="R333">
        <v>171.6</v>
      </c>
      <c r="S333">
        <v>157.4</v>
      </c>
      <c r="T333">
        <v>169.4</v>
      </c>
      <c r="U333" t="s">
        <v>154</v>
      </c>
      <c r="V333">
        <v>174.9</v>
      </c>
      <c r="W333">
        <v>162.1</v>
      </c>
      <c r="X333">
        <v>170.9</v>
      </c>
      <c r="Y333">
        <v>157.19999999999999</v>
      </c>
      <c r="Z333">
        <v>164.1</v>
      </c>
      <c r="AA333">
        <v>166.5</v>
      </c>
      <c r="AB333">
        <v>169.2</v>
      </c>
      <c r="AC333">
        <v>163.80000000000001</v>
      </c>
      <c r="AD333">
        <v>171.4</v>
      </c>
    </row>
    <row r="334" spans="1:30" hidden="1" x14ac:dyDescent="0.25">
      <c r="A334" t="s">
        <v>35</v>
      </c>
      <c r="B334">
        <v>2022</v>
      </c>
      <c r="C334" t="s">
        <v>42</v>
      </c>
      <c r="D334">
        <v>155</v>
      </c>
      <c r="E334">
        <v>219.4</v>
      </c>
      <c r="F334">
        <v>170.8</v>
      </c>
      <c r="G334">
        <v>165.8</v>
      </c>
      <c r="H334">
        <v>200.9</v>
      </c>
      <c r="I334">
        <v>169.7</v>
      </c>
      <c r="J334">
        <v>182.3</v>
      </c>
      <c r="K334">
        <v>164.3</v>
      </c>
      <c r="L334">
        <v>119.9</v>
      </c>
      <c r="M334">
        <v>187.1</v>
      </c>
      <c r="N334">
        <v>167.9</v>
      </c>
      <c r="O334">
        <v>183.9</v>
      </c>
      <c r="P334">
        <v>174.9</v>
      </c>
      <c r="Q334">
        <v>194.3</v>
      </c>
      <c r="R334">
        <v>177.1</v>
      </c>
      <c r="S334">
        <v>169.9</v>
      </c>
      <c r="T334">
        <v>176</v>
      </c>
      <c r="U334" t="s">
        <v>154</v>
      </c>
      <c r="V334">
        <v>176</v>
      </c>
      <c r="W334">
        <v>166.4</v>
      </c>
      <c r="X334">
        <v>175.4</v>
      </c>
      <c r="Y334">
        <v>161.1</v>
      </c>
      <c r="Z334">
        <v>165.8</v>
      </c>
      <c r="AA334">
        <v>169</v>
      </c>
      <c r="AB334">
        <v>169.4</v>
      </c>
      <c r="AC334">
        <v>167.5</v>
      </c>
      <c r="AD334">
        <v>172.6</v>
      </c>
    </row>
    <row r="335" spans="1:30" hidden="1" x14ac:dyDescent="0.25">
      <c r="A335" t="s">
        <v>30</v>
      </c>
      <c r="B335">
        <v>2022</v>
      </c>
      <c r="C335" t="s">
        <v>44</v>
      </c>
      <c r="D335">
        <v>155.19999999999999</v>
      </c>
      <c r="E335">
        <v>210.8</v>
      </c>
      <c r="F335">
        <v>174.3</v>
      </c>
      <c r="G335">
        <v>166.3</v>
      </c>
      <c r="H335">
        <v>202.2</v>
      </c>
      <c r="I335">
        <v>169.6</v>
      </c>
      <c r="J335">
        <v>168.6</v>
      </c>
      <c r="K335">
        <v>164.4</v>
      </c>
      <c r="L335">
        <v>119.2</v>
      </c>
      <c r="M335">
        <v>191.8</v>
      </c>
      <c r="N335">
        <v>174.5</v>
      </c>
      <c r="O335">
        <v>183.1</v>
      </c>
      <c r="P335">
        <v>172.5</v>
      </c>
      <c r="Q335">
        <v>193.2</v>
      </c>
      <c r="R335">
        <v>182</v>
      </c>
      <c r="S335">
        <v>180.3</v>
      </c>
      <c r="T335">
        <v>181.7</v>
      </c>
      <c r="U335" t="s">
        <v>32</v>
      </c>
      <c r="V335">
        <v>179.6</v>
      </c>
      <c r="W335">
        <v>171.3</v>
      </c>
      <c r="X335">
        <v>178.8</v>
      </c>
      <c r="Y335">
        <v>166.3</v>
      </c>
      <c r="Z335">
        <v>168.6</v>
      </c>
      <c r="AA335">
        <v>174.7</v>
      </c>
      <c r="AB335">
        <v>169.7</v>
      </c>
      <c r="AC335">
        <v>171.8</v>
      </c>
      <c r="AD335">
        <v>174.3</v>
      </c>
    </row>
    <row r="336" spans="1:30" hidden="1" x14ac:dyDescent="0.25">
      <c r="A336" t="s">
        <v>33</v>
      </c>
      <c r="B336">
        <v>2022</v>
      </c>
      <c r="C336" t="s">
        <v>44</v>
      </c>
      <c r="D336">
        <v>159.30000000000001</v>
      </c>
      <c r="E336">
        <v>217.1</v>
      </c>
      <c r="F336">
        <v>176.6</v>
      </c>
      <c r="G336">
        <v>167.1</v>
      </c>
      <c r="H336">
        <v>184.8</v>
      </c>
      <c r="I336">
        <v>179.5</v>
      </c>
      <c r="J336">
        <v>208.5</v>
      </c>
      <c r="K336">
        <v>164</v>
      </c>
      <c r="L336">
        <v>121.5</v>
      </c>
      <c r="M336">
        <v>186.3</v>
      </c>
      <c r="N336">
        <v>159.80000000000001</v>
      </c>
      <c r="O336">
        <v>187.7</v>
      </c>
      <c r="P336">
        <v>179.4</v>
      </c>
      <c r="Q336">
        <v>198.6</v>
      </c>
      <c r="R336">
        <v>172.7</v>
      </c>
      <c r="S336">
        <v>158.69999999999999</v>
      </c>
      <c r="T336">
        <v>170.6</v>
      </c>
      <c r="U336" t="s">
        <v>155</v>
      </c>
      <c r="V336">
        <v>179.5</v>
      </c>
      <c r="W336">
        <v>163.1</v>
      </c>
      <c r="X336">
        <v>171.7</v>
      </c>
      <c r="Y336">
        <v>157.4</v>
      </c>
      <c r="Z336">
        <v>164.6</v>
      </c>
      <c r="AA336">
        <v>169.1</v>
      </c>
      <c r="AB336">
        <v>169.8</v>
      </c>
      <c r="AC336">
        <v>164.7</v>
      </c>
      <c r="AD336">
        <v>172.3</v>
      </c>
    </row>
    <row r="337" spans="1:30" hidden="1" x14ac:dyDescent="0.25">
      <c r="A337" t="s">
        <v>35</v>
      </c>
      <c r="B337">
        <v>2022</v>
      </c>
      <c r="C337" t="s">
        <v>44</v>
      </c>
      <c r="D337">
        <v>156.5</v>
      </c>
      <c r="E337">
        <v>213</v>
      </c>
      <c r="F337">
        <v>175.2</v>
      </c>
      <c r="G337">
        <v>166.6</v>
      </c>
      <c r="H337">
        <v>195.8</v>
      </c>
      <c r="I337">
        <v>174.2</v>
      </c>
      <c r="J337">
        <v>182.1</v>
      </c>
      <c r="K337">
        <v>164.3</v>
      </c>
      <c r="L337">
        <v>120</v>
      </c>
      <c r="M337">
        <v>190</v>
      </c>
      <c r="N337">
        <v>168.4</v>
      </c>
      <c r="O337">
        <v>185.2</v>
      </c>
      <c r="P337">
        <v>175</v>
      </c>
      <c r="Q337">
        <v>194.6</v>
      </c>
      <c r="R337">
        <v>178.3</v>
      </c>
      <c r="S337">
        <v>171.3</v>
      </c>
      <c r="T337">
        <v>177.3</v>
      </c>
      <c r="U337" t="s">
        <v>155</v>
      </c>
      <c r="V337">
        <v>179.6</v>
      </c>
      <c r="W337">
        <v>167.4</v>
      </c>
      <c r="X337">
        <v>176.1</v>
      </c>
      <c r="Y337">
        <v>161.6</v>
      </c>
      <c r="Z337">
        <v>166.3</v>
      </c>
      <c r="AA337">
        <v>171.4</v>
      </c>
      <c r="AB337">
        <v>169.7</v>
      </c>
      <c r="AC337">
        <v>168.4</v>
      </c>
      <c r="AD337">
        <v>173.4</v>
      </c>
    </row>
    <row r="338" spans="1:30" hidden="1" x14ac:dyDescent="0.25">
      <c r="A338" t="s">
        <v>30</v>
      </c>
      <c r="B338">
        <v>2022</v>
      </c>
      <c r="C338" t="s">
        <v>46</v>
      </c>
      <c r="D338">
        <v>159.5</v>
      </c>
      <c r="E338">
        <v>204.1</v>
      </c>
      <c r="F338">
        <v>168.3</v>
      </c>
      <c r="G338">
        <v>167.9</v>
      </c>
      <c r="H338">
        <v>198.1</v>
      </c>
      <c r="I338">
        <v>169.2</v>
      </c>
      <c r="J338">
        <v>173.1</v>
      </c>
      <c r="K338">
        <v>167.1</v>
      </c>
      <c r="L338">
        <v>120.2</v>
      </c>
      <c r="M338">
        <v>195.6</v>
      </c>
      <c r="N338">
        <v>174.8</v>
      </c>
      <c r="O338">
        <v>184</v>
      </c>
      <c r="P338">
        <v>173.9</v>
      </c>
      <c r="Q338">
        <v>193.7</v>
      </c>
      <c r="R338">
        <v>183.2</v>
      </c>
      <c r="S338">
        <v>181.7</v>
      </c>
      <c r="T338">
        <v>183</v>
      </c>
      <c r="U338" t="s">
        <v>32</v>
      </c>
      <c r="V338">
        <v>179.1</v>
      </c>
      <c r="W338">
        <v>172.3</v>
      </c>
      <c r="X338">
        <v>179.4</v>
      </c>
      <c r="Y338">
        <v>166.6</v>
      </c>
      <c r="Z338">
        <v>169.3</v>
      </c>
      <c r="AA338">
        <v>175.7</v>
      </c>
      <c r="AB338">
        <v>171.1</v>
      </c>
      <c r="AC338">
        <v>172.6</v>
      </c>
      <c r="AD338">
        <v>175.3</v>
      </c>
    </row>
    <row r="339" spans="1:30" hidden="1" x14ac:dyDescent="0.25">
      <c r="A339" t="s">
        <v>33</v>
      </c>
      <c r="B339">
        <v>2022</v>
      </c>
      <c r="C339" t="s">
        <v>46</v>
      </c>
      <c r="D339">
        <v>162.1</v>
      </c>
      <c r="E339">
        <v>210.9</v>
      </c>
      <c r="F339">
        <v>170.6</v>
      </c>
      <c r="G339">
        <v>168.4</v>
      </c>
      <c r="H339">
        <v>182.5</v>
      </c>
      <c r="I339">
        <v>177.1</v>
      </c>
      <c r="J339">
        <v>213.1</v>
      </c>
      <c r="K339">
        <v>167.3</v>
      </c>
      <c r="L339">
        <v>122.2</v>
      </c>
      <c r="M339">
        <v>189.7</v>
      </c>
      <c r="N339">
        <v>160.5</v>
      </c>
      <c r="O339">
        <v>188.9</v>
      </c>
      <c r="P339">
        <v>180.4</v>
      </c>
      <c r="Q339">
        <v>198.7</v>
      </c>
      <c r="R339">
        <v>173.7</v>
      </c>
      <c r="S339">
        <v>160</v>
      </c>
      <c r="T339">
        <v>171.6</v>
      </c>
      <c r="U339" t="s">
        <v>156</v>
      </c>
      <c r="V339">
        <v>178.4</v>
      </c>
      <c r="W339">
        <v>164.2</v>
      </c>
      <c r="X339">
        <v>172.6</v>
      </c>
      <c r="Y339">
        <v>157.69999999999999</v>
      </c>
      <c r="Z339">
        <v>165.1</v>
      </c>
      <c r="AA339">
        <v>169.9</v>
      </c>
      <c r="AB339">
        <v>171.4</v>
      </c>
      <c r="AC339">
        <v>165.4</v>
      </c>
      <c r="AD339">
        <v>173.1</v>
      </c>
    </row>
    <row r="340" spans="1:30" hidden="1" x14ac:dyDescent="0.25">
      <c r="A340" t="s">
        <v>35</v>
      </c>
      <c r="B340">
        <v>2022</v>
      </c>
      <c r="C340" t="s">
        <v>46</v>
      </c>
      <c r="D340">
        <v>160.30000000000001</v>
      </c>
      <c r="E340">
        <v>206.5</v>
      </c>
      <c r="F340">
        <v>169.2</v>
      </c>
      <c r="G340">
        <v>168.1</v>
      </c>
      <c r="H340">
        <v>192.4</v>
      </c>
      <c r="I340">
        <v>172.9</v>
      </c>
      <c r="J340">
        <v>186.7</v>
      </c>
      <c r="K340">
        <v>167.2</v>
      </c>
      <c r="L340">
        <v>120.9</v>
      </c>
      <c r="M340">
        <v>193.6</v>
      </c>
      <c r="N340">
        <v>168.8</v>
      </c>
      <c r="O340">
        <v>186.3</v>
      </c>
      <c r="P340">
        <v>176.3</v>
      </c>
      <c r="Q340">
        <v>195</v>
      </c>
      <c r="R340">
        <v>179.5</v>
      </c>
      <c r="S340">
        <v>172.7</v>
      </c>
      <c r="T340">
        <v>178.5</v>
      </c>
      <c r="U340" t="s">
        <v>156</v>
      </c>
      <c r="V340">
        <v>178.8</v>
      </c>
      <c r="W340">
        <v>168.5</v>
      </c>
      <c r="X340">
        <v>176.8</v>
      </c>
      <c r="Y340">
        <v>161.9</v>
      </c>
      <c r="Z340">
        <v>166.9</v>
      </c>
      <c r="AA340">
        <v>172.3</v>
      </c>
      <c r="AB340">
        <v>171.2</v>
      </c>
      <c r="AC340">
        <v>169.1</v>
      </c>
      <c r="AD340">
        <v>174.3</v>
      </c>
    </row>
    <row r="341" spans="1:30" hidden="1" x14ac:dyDescent="0.25">
      <c r="A341" t="s">
        <v>30</v>
      </c>
      <c r="B341">
        <v>2022</v>
      </c>
      <c r="C341" t="s">
        <v>48</v>
      </c>
      <c r="D341">
        <v>162.9</v>
      </c>
      <c r="E341">
        <v>206.7</v>
      </c>
      <c r="F341">
        <v>169</v>
      </c>
      <c r="G341">
        <v>169.5</v>
      </c>
      <c r="H341">
        <v>194.1</v>
      </c>
      <c r="I341">
        <v>164.1</v>
      </c>
      <c r="J341">
        <v>176.9</v>
      </c>
      <c r="K341">
        <v>169</v>
      </c>
      <c r="L341">
        <v>120.8</v>
      </c>
      <c r="M341">
        <v>199.1</v>
      </c>
      <c r="N341">
        <v>175.4</v>
      </c>
      <c r="O341">
        <v>184.8</v>
      </c>
      <c r="P341">
        <v>175.5</v>
      </c>
      <c r="Q341">
        <v>194.5</v>
      </c>
      <c r="R341">
        <v>184.7</v>
      </c>
      <c r="S341">
        <v>183.3</v>
      </c>
      <c r="T341">
        <v>184.5</v>
      </c>
      <c r="U341" t="s">
        <v>32</v>
      </c>
      <c r="V341">
        <v>179.7</v>
      </c>
      <c r="W341">
        <v>173.6</v>
      </c>
      <c r="X341">
        <v>180.2</v>
      </c>
      <c r="Y341">
        <v>166.9</v>
      </c>
      <c r="Z341">
        <v>170</v>
      </c>
      <c r="AA341">
        <v>176.2</v>
      </c>
      <c r="AB341">
        <v>170.8</v>
      </c>
      <c r="AC341">
        <v>173.1</v>
      </c>
      <c r="AD341">
        <v>176.4</v>
      </c>
    </row>
    <row r="342" spans="1:30" hidden="1" x14ac:dyDescent="0.25">
      <c r="A342" t="s">
        <v>33</v>
      </c>
      <c r="B342">
        <v>2022</v>
      </c>
      <c r="C342" t="s">
        <v>48</v>
      </c>
      <c r="D342">
        <v>164.9</v>
      </c>
      <c r="E342">
        <v>213.7</v>
      </c>
      <c r="F342">
        <v>170.9</v>
      </c>
      <c r="G342">
        <v>170.1</v>
      </c>
      <c r="H342">
        <v>179.3</v>
      </c>
      <c r="I342">
        <v>167.5</v>
      </c>
      <c r="J342">
        <v>220.8</v>
      </c>
      <c r="K342">
        <v>169.2</v>
      </c>
      <c r="L342">
        <v>123.1</v>
      </c>
      <c r="M342">
        <v>193.6</v>
      </c>
      <c r="N342">
        <v>161.1</v>
      </c>
      <c r="O342">
        <v>190.4</v>
      </c>
      <c r="P342">
        <v>181.8</v>
      </c>
      <c r="Q342">
        <v>199.7</v>
      </c>
      <c r="R342">
        <v>175</v>
      </c>
      <c r="S342">
        <v>161.69999999999999</v>
      </c>
      <c r="T342">
        <v>173</v>
      </c>
      <c r="U342" t="s">
        <v>157</v>
      </c>
      <c r="V342">
        <v>179.2</v>
      </c>
      <c r="W342">
        <v>165</v>
      </c>
      <c r="X342">
        <v>173.8</v>
      </c>
      <c r="Y342">
        <v>158.19999999999999</v>
      </c>
      <c r="Z342">
        <v>165.8</v>
      </c>
      <c r="AA342">
        <v>170.9</v>
      </c>
      <c r="AB342">
        <v>171.1</v>
      </c>
      <c r="AC342">
        <v>166.1</v>
      </c>
      <c r="AD342">
        <v>174.1</v>
      </c>
    </row>
    <row r="343" spans="1:30" hidden="1" x14ac:dyDescent="0.25">
      <c r="A343" t="s">
        <v>35</v>
      </c>
      <c r="B343">
        <v>2022</v>
      </c>
      <c r="C343" t="s">
        <v>48</v>
      </c>
      <c r="D343">
        <v>163.5</v>
      </c>
      <c r="E343">
        <v>209.2</v>
      </c>
      <c r="F343">
        <v>169.7</v>
      </c>
      <c r="G343">
        <v>169.7</v>
      </c>
      <c r="H343">
        <v>188.7</v>
      </c>
      <c r="I343">
        <v>165.7</v>
      </c>
      <c r="J343">
        <v>191.8</v>
      </c>
      <c r="K343">
        <v>169.1</v>
      </c>
      <c r="L343">
        <v>121.6</v>
      </c>
      <c r="M343">
        <v>197.3</v>
      </c>
      <c r="N343">
        <v>169.4</v>
      </c>
      <c r="O343">
        <v>187.4</v>
      </c>
      <c r="P343">
        <v>177.8</v>
      </c>
      <c r="Q343">
        <v>195.9</v>
      </c>
      <c r="R343">
        <v>180.9</v>
      </c>
      <c r="S343">
        <v>174.3</v>
      </c>
      <c r="T343">
        <v>179.9</v>
      </c>
      <c r="U343" t="s">
        <v>157</v>
      </c>
      <c r="V343">
        <v>179.5</v>
      </c>
      <c r="W343">
        <v>169.5</v>
      </c>
      <c r="X343">
        <v>177.8</v>
      </c>
      <c r="Y343">
        <v>162.30000000000001</v>
      </c>
      <c r="Z343">
        <v>167.6</v>
      </c>
      <c r="AA343">
        <v>173.1</v>
      </c>
      <c r="AB343">
        <v>170.9</v>
      </c>
      <c r="AC343">
        <v>169.7</v>
      </c>
      <c r="AD343">
        <v>175.3</v>
      </c>
    </row>
    <row r="344" spans="1:30" hidden="1" x14ac:dyDescent="0.25">
      <c r="A344" t="s">
        <v>30</v>
      </c>
      <c r="B344">
        <v>2022</v>
      </c>
      <c r="C344" t="s">
        <v>50</v>
      </c>
      <c r="D344">
        <v>164.7</v>
      </c>
      <c r="E344">
        <v>208.8</v>
      </c>
      <c r="F344">
        <v>170.3</v>
      </c>
      <c r="G344">
        <v>170.9</v>
      </c>
      <c r="H344">
        <v>191.6</v>
      </c>
      <c r="I344">
        <v>162.19999999999999</v>
      </c>
      <c r="J344">
        <v>184.8</v>
      </c>
      <c r="K344">
        <v>169.7</v>
      </c>
      <c r="L344">
        <v>121.1</v>
      </c>
      <c r="M344">
        <v>201.6</v>
      </c>
      <c r="N344">
        <v>175.8</v>
      </c>
      <c r="O344">
        <v>185.6</v>
      </c>
      <c r="P344">
        <v>177.4</v>
      </c>
      <c r="Q344">
        <v>194.9</v>
      </c>
      <c r="R344">
        <v>186.1</v>
      </c>
      <c r="S344">
        <v>184.4</v>
      </c>
      <c r="T344">
        <v>185.9</v>
      </c>
      <c r="U344" t="s">
        <v>32</v>
      </c>
      <c r="V344">
        <v>180.8</v>
      </c>
      <c r="W344">
        <v>174.4</v>
      </c>
      <c r="X344">
        <v>181.2</v>
      </c>
      <c r="Y344">
        <v>167.4</v>
      </c>
      <c r="Z344">
        <v>170.6</v>
      </c>
      <c r="AA344">
        <v>176.5</v>
      </c>
      <c r="AB344">
        <v>172</v>
      </c>
      <c r="AC344">
        <v>173.9</v>
      </c>
      <c r="AD344">
        <v>177.9</v>
      </c>
    </row>
    <row r="345" spans="1:30" hidden="1" x14ac:dyDescent="0.25">
      <c r="A345" t="s">
        <v>33</v>
      </c>
      <c r="B345">
        <v>2022</v>
      </c>
      <c r="C345" t="s">
        <v>50</v>
      </c>
      <c r="D345">
        <v>166.4</v>
      </c>
      <c r="E345">
        <v>214.9</v>
      </c>
      <c r="F345">
        <v>171.9</v>
      </c>
      <c r="G345">
        <v>171</v>
      </c>
      <c r="H345">
        <v>177.7</v>
      </c>
      <c r="I345">
        <v>165.7</v>
      </c>
      <c r="J345">
        <v>228.6</v>
      </c>
      <c r="K345">
        <v>169.9</v>
      </c>
      <c r="L345">
        <v>123.4</v>
      </c>
      <c r="M345">
        <v>196.4</v>
      </c>
      <c r="N345">
        <v>161.6</v>
      </c>
      <c r="O345">
        <v>191.5</v>
      </c>
      <c r="P345">
        <v>183.3</v>
      </c>
      <c r="Q345">
        <v>200.1</v>
      </c>
      <c r="R345">
        <v>175.5</v>
      </c>
      <c r="S345">
        <v>162.6</v>
      </c>
      <c r="T345">
        <v>173.6</v>
      </c>
      <c r="U345" t="s">
        <v>158</v>
      </c>
      <c r="V345">
        <v>180</v>
      </c>
      <c r="W345">
        <v>166</v>
      </c>
      <c r="X345">
        <v>174.7</v>
      </c>
      <c r="Y345">
        <v>158.80000000000001</v>
      </c>
      <c r="Z345">
        <v>166.3</v>
      </c>
      <c r="AA345">
        <v>171.2</v>
      </c>
      <c r="AB345">
        <v>172.3</v>
      </c>
      <c r="AC345">
        <v>166.8</v>
      </c>
      <c r="AD345">
        <v>175.3</v>
      </c>
    </row>
    <row r="346" spans="1:30" hidden="1" x14ac:dyDescent="0.25">
      <c r="A346" t="s">
        <v>35</v>
      </c>
      <c r="B346">
        <v>2022</v>
      </c>
      <c r="C346" t="s">
        <v>50</v>
      </c>
      <c r="D346">
        <v>165.2</v>
      </c>
      <c r="E346">
        <v>210.9</v>
      </c>
      <c r="F346">
        <v>170.9</v>
      </c>
      <c r="G346">
        <v>170.9</v>
      </c>
      <c r="H346">
        <v>186.5</v>
      </c>
      <c r="I346">
        <v>163.80000000000001</v>
      </c>
      <c r="J346">
        <v>199.7</v>
      </c>
      <c r="K346">
        <v>169.8</v>
      </c>
      <c r="L346">
        <v>121.9</v>
      </c>
      <c r="M346">
        <v>199.9</v>
      </c>
      <c r="N346">
        <v>169.9</v>
      </c>
      <c r="O346">
        <v>188.3</v>
      </c>
      <c r="P346">
        <v>179.6</v>
      </c>
      <c r="Q346">
        <v>196.3</v>
      </c>
      <c r="R346">
        <v>181.9</v>
      </c>
      <c r="S346">
        <v>175.3</v>
      </c>
      <c r="T346">
        <v>181</v>
      </c>
      <c r="U346" t="s">
        <v>158</v>
      </c>
      <c r="V346">
        <v>180.5</v>
      </c>
      <c r="W346">
        <v>170.4</v>
      </c>
      <c r="X346">
        <v>178.7</v>
      </c>
      <c r="Y346">
        <v>162.9</v>
      </c>
      <c r="Z346">
        <v>168.2</v>
      </c>
      <c r="AA346">
        <v>173.4</v>
      </c>
      <c r="AB346">
        <v>172.1</v>
      </c>
      <c r="AC346">
        <v>170.5</v>
      </c>
      <c r="AD346">
        <v>176.7</v>
      </c>
    </row>
    <row r="347" spans="1:30" hidden="1" x14ac:dyDescent="0.25">
      <c r="A347" t="s">
        <v>30</v>
      </c>
      <c r="B347">
        <v>2022</v>
      </c>
      <c r="C347" t="s">
        <v>53</v>
      </c>
      <c r="D347">
        <v>166.9</v>
      </c>
      <c r="E347">
        <v>207.2</v>
      </c>
      <c r="F347">
        <v>180.2</v>
      </c>
      <c r="G347">
        <v>172.3</v>
      </c>
      <c r="H347">
        <v>194</v>
      </c>
      <c r="I347">
        <v>159.1</v>
      </c>
      <c r="J347">
        <v>171.6</v>
      </c>
      <c r="K347">
        <v>170.2</v>
      </c>
      <c r="L347">
        <v>121.5</v>
      </c>
      <c r="M347">
        <v>204.8</v>
      </c>
      <c r="N347">
        <v>176.4</v>
      </c>
      <c r="O347">
        <v>186.9</v>
      </c>
      <c r="P347">
        <v>176.6</v>
      </c>
      <c r="Q347">
        <v>195.5</v>
      </c>
      <c r="R347">
        <v>187.2</v>
      </c>
      <c r="S347">
        <v>185.2</v>
      </c>
      <c r="T347">
        <v>186.9</v>
      </c>
      <c r="U347" t="s">
        <v>32</v>
      </c>
      <c r="V347">
        <v>181.9</v>
      </c>
      <c r="W347">
        <v>175.5</v>
      </c>
      <c r="X347">
        <v>182.3</v>
      </c>
      <c r="Y347">
        <v>167.5</v>
      </c>
      <c r="Z347">
        <v>170.8</v>
      </c>
      <c r="AA347">
        <v>176.9</v>
      </c>
      <c r="AB347">
        <v>173.4</v>
      </c>
      <c r="AC347">
        <v>174.6</v>
      </c>
      <c r="AD347">
        <v>177.8</v>
      </c>
    </row>
    <row r="348" spans="1:30" hidden="1" x14ac:dyDescent="0.25">
      <c r="A348" t="s">
        <v>33</v>
      </c>
      <c r="B348">
        <v>2022</v>
      </c>
      <c r="C348" t="s">
        <v>53</v>
      </c>
      <c r="D348">
        <v>168.4</v>
      </c>
      <c r="E348">
        <v>213.4</v>
      </c>
      <c r="F348">
        <v>183.2</v>
      </c>
      <c r="G348">
        <v>172.3</v>
      </c>
      <c r="H348">
        <v>180</v>
      </c>
      <c r="I348">
        <v>162.6</v>
      </c>
      <c r="J348">
        <v>205.5</v>
      </c>
      <c r="K348">
        <v>171</v>
      </c>
      <c r="L348">
        <v>123.4</v>
      </c>
      <c r="M348">
        <v>198.8</v>
      </c>
      <c r="N348">
        <v>162.1</v>
      </c>
      <c r="O348">
        <v>192.4</v>
      </c>
      <c r="P348">
        <v>181.3</v>
      </c>
      <c r="Q348">
        <v>200.6</v>
      </c>
      <c r="R348">
        <v>176.7</v>
      </c>
      <c r="S348">
        <v>163.5</v>
      </c>
      <c r="T348">
        <v>174.7</v>
      </c>
      <c r="U348" t="s">
        <v>159</v>
      </c>
      <c r="V348">
        <v>180.3</v>
      </c>
      <c r="W348">
        <v>166.9</v>
      </c>
      <c r="X348">
        <v>175.8</v>
      </c>
      <c r="Y348">
        <v>158.9</v>
      </c>
      <c r="Z348">
        <v>166.7</v>
      </c>
      <c r="AA348">
        <v>171.5</v>
      </c>
      <c r="AB348">
        <v>173.8</v>
      </c>
      <c r="AC348">
        <v>167.4</v>
      </c>
      <c r="AD348">
        <v>174.1</v>
      </c>
    </row>
    <row r="349" spans="1:30" hidden="1" x14ac:dyDescent="0.25">
      <c r="A349" t="s">
        <v>35</v>
      </c>
      <c r="B349">
        <v>2022</v>
      </c>
      <c r="C349" t="s">
        <v>53</v>
      </c>
      <c r="D349">
        <v>167.4</v>
      </c>
      <c r="E349">
        <v>209.4</v>
      </c>
      <c r="F349">
        <v>181.4</v>
      </c>
      <c r="G349">
        <v>172.3</v>
      </c>
      <c r="H349">
        <v>188.9</v>
      </c>
      <c r="I349">
        <v>160.69999999999999</v>
      </c>
      <c r="J349">
        <v>183.1</v>
      </c>
      <c r="K349">
        <v>170.5</v>
      </c>
      <c r="L349">
        <v>122.1</v>
      </c>
      <c r="M349">
        <v>202.8</v>
      </c>
      <c r="N349">
        <v>170.4</v>
      </c>
      <c r="O349">
        <v>189.5</v>
      </c>
      <c r="P349">
        <v>178.3</v>
      </c>
      <c r="Q349">
        <v>196.9</v>
      </c>
      <c r="R349">
        <v>183.1</v>
      </c>
      <c r="S349">
        <v>176.2</v>
      </c>
      <c r="T349">
        <v>182.1</v>
      </c>
      <c r="U349" t="s">
        <v>159</v>
      </c>
      <c r="V349">
        <v>181.3</v>
      </c>
      <c r="W349">
        <v>171.4</v>
      </c>
      <c r="X349">
        <v>179.8</v>
      </c>
      <c r="Y349">
        <v>163</v>
      </c>
      <c r="Z349">
        <v>168.5</v>
      </c>
      <c r="AA349">
        <v>173.7</v>
      </c>
      <c r="AB349">
        <v>173.6</v>
      </c>
      <c r="AC349">
        <v>171.1</v>
      </c>
      <c r="AD349">
        <v>176.5</v>
      </c>
    </row>
    <row r="350" spans="1:30" hidden="1" x14ac:dyDescent="0.25">
      <c r="A350" t="s">
        <v>30</v>
      </c>
      <c r="B350">
        <v>2022</v>
      </c>
      <c r="C350" t="s">
        <v>55</v>
      </c>
      <c r="D350">
        <v>168.8</v>
      </c>
      <c r="E350">
        <v>206.9</v>
      </c>
      <c r="F350">
        <v>189.1</v>
      </c>
      <c r="G350">
        <v>173.4</v>
      </c>
      <c r="H350">
        <v>193.9</v>
      </c>
      <c r="I350">
        <v>156.69999999999999</v>
      </c>
      <c r="J350">
        <v>150.19999999999999</v>
      </c>
      <c r="K350">
        <v>170.5</v>
      </c>
      <c r="L350">
        <v>121.2</v>
      </c>
      <c r="M350">
        <v>207.5</v>
      </c>
      <c r="N350">
        <v>176.8</v>
      </c>
      <c r="O350">
        <v>187.7</v>
      </c>
      <c r="P350">
        <v>174.4</v>
      </c>
      <c r="Q350">
        <v>195.9</v>
      </c>
      <c r="R350">
        <v>188.1</v>
      </c>
      <c r="S350">
        <v>185.9</v>
      </c>
      <c r="T350">
        <v>187.8</v>
      </c>
      <c r="U350" t="s">
        <v>32</v>
      </c>
      <c r="V350">
        <v>182.8</v>
      </c>
      <c r="W350">
        <v>176.4</v>
      </c>
      <c r="X350">
        <v>183.5</v>
      </c>
      <c r="Y350">
        <v>167.8</v>
      </c>
      <c r="Z350">
        <v>171.2</v>
      </c>
      <c r="AA350">
        <v>177.3</v>
      </c>
      <c r="AB350">
        <v>175.7</v>
      </c>
      <c r="AC350">
        <v>175.5</v>
      </c>
      <c r="AD350">
        <v>177.1</v>
      </c>
    </row>
    <row r="351" spans="1:30" hidden="1" x14ac:dyDescent="0.25">
      <c r="A351" t="s">
        <v>33</v>
      </c>
      <c r="B351">
        <v>2022</v>
      </c>
      <c r="C351" t="s">
        <v>55</v>
      </c>
      <c r="D351">
        <v>170.2</v>
      </c>
      <c r="E351">
        <v>212.9</v>
      </c>
      <c r="F351">
        <v>191.9</v>
      </c>
      <c r="G351">
        <v>173.9</v>
      </c>
      <c r="H351">
        <v>179.1</v>
      </c>
      <c r="I351">
        <v>159.5</v>
      </c>
      <c r="J351">
        <v>178.7</v>
      </c>
      <c r="K351">
        <v>171.3</v>
      </c>
      <c r="L351">
        <v>123.1</v>
      </c>
      <c r="M351">
        <v>200.5</v>
      </c>
      <c r="N351">
        <v>162.80000000000001</v>
      </c>
      <c r="O351">
        <v>193.3</v>
      </c>
      <c r="P351">
        <v>178.6</v>
      </c>
      <c r="Q351">
        <v>201.1</v>
      </c>
      <c r="R351">
        <v>177.7</v>
      </c>
      <c r="S351">
        <v>164.5</v>
      </c>
      <c r="T351">
        <v>175.7</v>
      </c>
      <c r="U351" t="s">
        <v>160</v>
      </c>
      <c r="V351">
        <v>180.6</v>
      </c>
      <c r="W351">
        <v>167.3</v>
      </c>
      <c r="X351">
        <v>177.2</v>
      </c>
      <c r="Y351">
        <v>159.4</v>
      </c>
      <c r="Z351">
        <v>167.1</v>
      </c>
      <c r="AA351">
        <v>171.8</v>
      </c>
      <c r="AB351">
        <v>176</v>
      </c>
      <c r="AC351">
        <v>168.2</v>
      </c>
      <c r="AD351">
        <v>174.1</v>
      </c>
    </row>
    <row r="352" spans="1:30" hidden="1" x14ac:dyDescent="0.25">
      <c r="A352" t="s">
        <v>35</v>
      </c>
      <c r="B352">
        <v>2022</v>
      </c>
      <c r="C352" t="s">
        <v>55</v>
      </c>
      <c r="D352">
        <v>169.2</v>
      </c>
      <c r="E352">
        <v>209</v>
      </c>
      <c r="F352">
        <v>190.2</v>
      </c>
      <c r="G352">
        <v>173.6</v>
      </c>
      <c r="H352">
        <v>188.5</v>
      </c>
      <c r="I352">
        <v>158</v>
      </c>
      <c r="J352">
        <v>159.9</v>
      </c>
      <c r="K352">
        <v>170.8</v>
      </c>
      <c r="L352">
        <v>121.8</v>
      </c>
      <c r="M352">
        <v>205.2</v>
      </c>
      <c r="N352">
        <v>171</v>
      </c>
      <c r="O352">
        <v>190.3</v>
      </c>
      <c r="P352">
        <v>175.9</v>
      </c>
      <c r="Q352">
        <v>197.3</v>
      </c>
      <c r="R352">
        <v>184</v>
      </c>
      <c r="S352">
        <v>177</v>
      </c>
      <c r="T352">
        <v>183</v>
      </c>
      <c r="U352" t="s">
        <v>160</v>
      </c>
      <c r="V352">
        <v>182</v>
      </c>
      <c r="W352">
        <v>172.1</v>
      </c>
      <c r="X352">
        <v>181.1</v>
      </c>
      <c r="Y352">
        <v>163.4</v>
      </c>
      <c r="Z352">
        <v>168.9</v>
      </c>
      <c r="AA352">
        <v>174.1</v>
      </c>
      <c r="AB352">
        <v>175.8</v>
      </c>
      <c r="AC352">
        <v>172</v>
      </c>
      <c r="AD352">
        <v>175.7</v>
      </c>
    </row>
    <row r="353" spans="1:30" hidden="1" x14ac:dyDescent="0.25">
      <c r="A353" t="s">
        <v>30</v>
      </c>
      <c r="B353">
        <v>2023</v>
      </c>
      <c r="C353" t="s">
        <v>31</v>
      </c>
      <c r="D353">
        <v>174</v>
      </c>
      <c r="E353">
        <v>208.3</v>
      </c>
      <c r="F353">
        <v>192.9</v>
      </c>
      <c r="G353">
        <v>174.3</v>
      </c>
      <c r="H353">
        <v>192.6</v>
      </c>
      <c r="I353">
        <v>156.30000000000001</v>
      </c>
      <c r="J353">
        <v>142.9</v>
      </c>
      <c r="K353">
        <v>170.7</v>
      </c>
      <c r="L353">
        <v>120.3</v>
      </c>
      <c r="M353">
        <v>210.5</v>
      </c>
      <c r="N353">
        <v>176.9</v>
      </c>
      <c r="O353">
        <v>188.5</v>
      </c>
      <c r="P353">
        <v>175</v>
      </c>
      <c r="Q353">
        <v>196.9</v>
      </c>
      <c r="R353">
        <v>189</v>
      </c>
      <c r="S353">
        <v>186.3</v>
      </c>
      <c r="T353">
        <v>188.6</v>
      </c>
      <c r="U353" t="s">
        <v>32</v>
      </c>
      <c r="V353">
        <v>183.2</v>
      </c>
      <c r="W353">
        <v>177.2</v>
      </c>
      <c r="X353">
        <v>184.7</v>
      </c>
      <c r="Y353">
        <v>168.2</v>
      </c>
      <c r="Z353">
        <v>171.8</v>
      </c>
      <c r="AA353">
        <v>177.8</v>
      </c>
      <c r="AB353">
        <v>178.4</v>
      </c>
      <c r="AC353">
        <v>176.5</v>
      </c>
      <c r="AD353">
        <v>177.8</v>
      </c>
    </row>
    <row r="354" spans="1:30" hidden="1" x14ac:dyDescent="0.25">
      <c r="A354" t="s">
        <v>33</v>
      </c>
      <c r="B354">
        <v>2023</v>
      </c>
      <c r="C354" t="s">
        <v>31</v>
      </c>
      <c r="D354">
        <v>173.3</v>
      </c>
      <c r="E354">
        <v>215.2</v>
      </c>
      <c r="F354">
        <v>197</v>
      </c>
      <c r="G354">
        <v>175.2</v>
      </c>
      <c r="H354">
        <v>178</v>
      </c>
      <c r="I354">
        <v>160.5</v>
      </c>
      <c r="J354">
        <v>175.3</v>
      </c>
      <c r="K354">
        <v>171.2</v>
      </c>
      <c r="L354">
        <v>122.7</v>
      </c>
      <c r="M354">
        <v>204.3</v>
      </c>
      <c r="N354">
        <v>163.69999999999999</v>
      </c>
      <c r="O354">
        <v>194.3</v>
      </c>
      <c r="P354">
        <v>179.5</v>
      </c>
      <c r="Q354">
        <v>201.6</v>
      </c>
      <c r="R354">
        <v>178.7</v>
      </c>
      <c r="S354">
        <v>165.3</v>
      </c>
      <c r="T354">
        <v>176.6</v>
      </c>
      <c r="U354" t="s">
        <v>161</v>
      </c>
      <c r="V354">
        <v>180.1</v>
      </c>
      <c r="W354">
        <v>168</v>
      </c>
      <c r="X354">
        <v>178.5</v>
      </c>
      <c r="Y354">
        <v>159.5</v>
      </c>
      <c r="Z354">
        <v>167.8</v>
      </c>
      <c r="AA354">
        <v>171.8</v>
      </c>
      <c r="AB354">
        <v>178.8</v>
      </c>
      <c r="AC354">
        <v>168.9</v>
      </c>
      <c r="AD354">
        <v>174.9</v>
      </c>
    </row>
    <row r="355" spans="1:30" hidden="1" x14ac:dyDescent="0.25">
      <c r="A355" t="s">
        <v>35</v>
      </c>
      <c r="B355">
        <v>2023</v>
      </c>
      <c r="C355" t="s">
        <v>31</v>
      </c>
      <c r="D355">
        <v>173.8</v>
      </c>
      <c r="E355">
        <v>210.7</v>
      </c>
      <c r="F355">
        <v>194.5</v>
      </c>
      <c r="G355">
        <v>174.6</v>
      </c>
      <c r="H355">
        <v>187.2</v>
      </c>
      <c r="I355">
        <v>158.30000000000001</v>
      </c>
      <c r="J355">
        <v>153.9</v>
      </c>
      <c r="K355">
        <v>170.9</v>
      </c>
      <c r="L355">
        <v>121.1</v>
      </c>
      <c r="M355">
        <v>208.4</v>
      </c>
      <c r="N355">
        <v>171.4</v>
      </c>
      <c r="O355">
        <v>191.2</v>
      </c>
      <c r="P355">
        <v>176.7</v>
      </c>
      <c r="Q355">
        <v>198.2</v>
      </c>
      <c r="R355">
        <v>184.9</v>
      </c>
      <c r="S355">
        <v>177.6</v>
      </c>
      <c r="T355">
        <v>183.8</v>
      </c>
      <c r="U355" t="s">
        <v>161</v>
      </c>
      <c r="V355">
        <v>182</v>
      </c>
      <c r="W355">
        <v>172.9</v>
      </c>
      <c r="X355">
        <v>182.3</v>
      </c>
      <c r="Y355">
        <v>163.6</v>
      </c>
      <c r="Z355">
        <v>169.5</v>
      </c>
      <c r="AA355">
        <v>174.3</v>
      </c>
      <c r="AB355">
        <v>178.6</v>
      </c>
      <c r="AC355">
        <v>172.8</v>
      </c>
      <c r="AD355">
        <v>176.5</v>
      </c>
    </row>
    <row r="356" spans="1:30" hidden="1" x14ac:dyDescent="0.25">
      <c r="A356" t="s">
        <v>30</v>
      </c>
      <c r="B356">
        <v>2023</v>
      </c>
      <c r="C356" t="s">
        <v>36</v>
      </c>
      <c r="D356">
        <v>174.2</v>
      </c>
      <c r="E356">
        <v>205.2</v>
      </c>
      <c r="F356">
        <v>173.9</v>
      </c>
      <c r="G356">
        <v>177</v>
      </c>
      <c r="H356">
        <v>183.4</v>
      </c>
      <c r="I356">
        <v>167.2</v>
      </c>
      <c r="J356">
        <v>140.9</v>
      </c>
      <c r="K356">
        <v>170.4</v>
      </c>
      <c r="L356">
        <v>119.1</v>
      </c>
      <c r="M356">
        <v>212.1</v>
      </c>
      <c r="N356">
        <v>177.6</v>
      </c>
      <c r="O356">
        <v>189.9</v>
      </c>
      <c r="P356">
        <v>174.8</v>
      </c>
      <c r="Q356">
        <v>198.3</v>
      </c>
      <c r="R356">
        <v>190</v>
      </c>
      <c r="S356">
        <v>187</v>
      </c>
      <c r="T356">
        <v>189.6</v>
      </c>
      <c r="U356" t="s">
        <v>32</v>
      </c>
      <c r="V356">
        <v>181.6</v>
      </c>
      <c r="W356">
        <v>178.6</v>
      </c>
      <c r="X356">
        <v>186.6</v>
      </c>
      <c r="Y356">
        <v>169</v>
      </c>
      <c r="Z356">
        <v>172.8</v>
      </c>
      <c r="AA356">
        <v>178.5</v>
      </c>
      <c r="AB356">
        <v>180.7</v>
      </c>
      <c r="AC356">
        <v>177.9</v>
      </c>
      <c r="AD356">
        <v>178</v>
      </c>
    </row>
    <row r="357" spans="1:30" hidden="1" x14ac:dyDescent="0.25">
      <c r="A357" t="s">
        <v>33</v>
      </c>
      <c r="B357">
        <v>2023</v>
      </c>
      <c r="C357" t="s">
        <v>36</v>
      </c>
      <c r="D357">
        <v>174.7</v>
      </c>
      <c r="E357">
        <v>212.2</v>
      </c>
      <c r="F357">
        <v>177.2</v>
      </c>
      <c r="G357">
        <v>177.9</v>
      </c>
      <c r="H357">
        <v>172.2</v>
      </c>
      <c r="I357">
        <v>172.1</v>
      </c>
      <c r="J357">
        <v>175.8</v>
      </c>
      <c r="K357">
        <v>172.2</v>
      </c>
      <c r="L357">
        <v>121.9</v>
      </c>
      <c r="M357">
        <v>204.8</v>
      </c>
      <c r="N357">
        <v>164.9</v>
      </c>
      <c r="O357">
        <v>196.6</v>
      </c>
      <c r="P357">
        <v>180.7</v>
      </c>
      <c r="Q357">
        <v>202.7</v>
      </c>
      <c r="R357">
        <v>180.3</v>
      </c>
      <c r="S357">
        <v>167</v>
      </c>
      <c r="T357">
        <v>178.2</v>
      </c>
      <c r="U357" t="s">
        <v>162</v>
      </c>
      <c r="V357">
        <v>182.8</v>
      </c>
      <c r="W357">
        <v>169.2</v>
      </c>
      <c r="X357">
        <v>180.8</v>
      </c>
      <c r="Y357">
        <v>159.80000000000001</v>
      </c>
      <c r="Z357">
        <v>168.4</v>
      </c>
      <c r="AA357">
        <v>172.5</v>
      </c>
      <c r="AB357">
        <v>181.4</v>
      </c>
      <c r="AC357">
        <v>170</v>
      </c>
      <c r="AD357">
        <v>176.3</v>
      </c>
    </row>
    <row r="358" spans="1:30" hidden="1" x14ac:dyDescent="0.25">
      <c r="A358" t="s">
        <v>35</v>
      </c>
      <c r="B358">
        <v>2023</v>
      </c>
      <c r="C358" t="s">
        <v>36</v>
      </c>
      <c r="D358">
        <v>174.4</v>
      </c>
      <c r="E358">
        <v>207.7</v>
      </c>
      <c r="F358">
        <v>175.2</v>
      </c>
      <c r="G358">
        <v>177.3</v>
      </c>
      <c r="H358">
        <v>179.3</v>
      </c>
      <c r="I358">
        <v>169.5</v>
      </c>
      <c r="J358">
        <v>152.69999999999999</v>
      </c>
      <c r="K358">
        <v>171</v>
      </c>
      <c r="L358">
        <v>120</v>
      </c>
      <c r="M358">
        <v>209.7</v>
      </c>
      <c r="N358">
        <v>172.3</v>
      </c>
      <c r="O358">
        <v>193</v>
      </c>
      <c r="P358">
        <v>177</v>
      </c>
      <c r="Q358">
        <v>199.5</v>
      </c>
      <c r="R358">
        <v>186.2</v>
      </c>
      <c r="S358">
        <v>178.7</v>
      </c>
      <c r="T358">
        <v>185.1</v>
      </c>
      <c r="U358" t="s">
        <v>162</v>
      </c>
      <c r="V358">
        <v>182.1</v>
      </c>
      <c r="W358">
        <v>174.2</v>
      </c>
      <c r="X358">
        <v>184.4</v>
      </c>
      <c r="Y358">
        <v>164.2</v>
      </c>
      <c r="Z358">
        <v>170.3</v>
      </c>
      <c r="AA358">
        <v>175</v>
      </c>
      <c r="AB358">
        <v>181</v>
      </c>
      <c r="AC358">
        <v>174.1</v>
      </c>
      <c r="AD358">
        <v>177.2</v>
      </c>
    </row>
    <row r="359" spans="1:30" hidden="1" x14ac:dyDescent="0.25">
      <c r="A359" t="s">
        <v>30</v>
      </c>
      <c r="B359">
        <v>2023</v>
      </c>
      <c r="C359" t="s">
        <v>38</v>
      </c>
      <c r="D359">
        <v>174.3</v>
      </c>
      <c r="E359">
        <v>205.2</v>
      </c>
      <c r="F359">
        <v>173.9</v>
      </c>
      <c r="G359">
        <v>177</v>
      </c>
      <c r="H359">
        <v>183.3</v>
      </c>
      <c r="I359">
        <v>167.2</v>
      </c>
      <c r="J359">
        <v>140.9</v>
      </c>
      <c r="K359">
        <v>170.5</v>
      </c>
      <c r="L359">
        <v>119.1</v>
      </c>
      <c r="M359">
        <v>212.1</v>
      </c>
      <c r="N359">
        <v>177.6</v>
      </c>
      <c r="O359">
        <v>189.9</v>
      </c>
      <c r="P359">
        <v>174.8</v>
      </c>
      <c r="Q359">
        <v>198.4</v>
      </c>
      <c r="R359">
        <v>190</v>
      </c>
      <c r="S359">
        <v>187</v>
      </c>
      <c r="T359">
        <v>189.6</v>
      </c>
      <c r="U359" t="s">
        <v>32</v>
      </c>
      <c r="V359">
        <v>181.4</v>
      </c>
      <c r="W359">
        <v>178.6</v>
      </c>
      <c r="X359">
        <v>186.6</v>
      </c>
      <c r="Y359">
        <v>169</v>
      </c>
      <c r="Z359">
        <v>172.8</v>
      </c>
      <c r="AA359">
        <v>178.5</v>
      </c>
      <c r="AB359">
        <v>180.7</v>
      </c>
      <c r="AC359">
        <v>177.9</v>
      </c>
      <c r="AD359">
        <v>178</v>
      </c>
    </row>
    <row r="360" spans="1:30" hidden="1" x14ac:dyDescent="0.25">
      <c r="A360" t="s">
        <v>33</v>
      </c>
      <c r="B360">
        <v>2023</v>
      </c>
      <c r="C360" t="s">
        <v>38</v>
      </c>
      <c r="D360">
        <v>174.7</v>
      </c>
      <c r="E360">
        <v>212.2</v>
      </c>
      <c r="F360">
        <v>177.2</v>
      </c>
      <c r="G360">
        <v>177.9</v>
      </c>
      <c r="H360">
        <v>172.2</v>
      </c>
      <c r="I360">
        <v>172.1</v>
      </c>
      <c r="J360">
        <v>175.9</v>
      </c>
      <c r="K360">
        <v>172.2</v>
      </c>
      <c r="L360">
        <v>121.9</v>
      </c>
      <c r="M360">
        <v>204.8</v>
      </c>
      <c r="N360">
        <v>164.9</v>
      </c>
      <c r="O360">
        <v>196.6</v>
      </c>
      <c r="P360">
        <v>180.8</v>
      </c>
      <c r="Q360">
        <v>202.7</v>
      </c>
      <c r="R360">
        <v>180.2</v>
      </c>
      <c r="S360">
        <v>167</v>
      </c>
      <c r="T360">
        <v>178.2</v>
      </c>
      <c r="U360" t="s">
        <v>162</v>
      </c>
      <c r="V360">
        <v>182.6</v>
      </c>
      <c r="W360">
        <v>169.2</v>
      </c>
      <c r="X360">
        <v>180.8</v>
      </c>
      <c r="Y360">
        <v>159.80000000000001</v>
      </c>
      <c r="Z360">
        <v>168.4</v>
      </c>
      <c r="AA360">
        <v>172.5</v>
      </c>
      <c r="AB360">
        <v>181.5</v>
      </c>
      <c r="AC360">
        <v>170</v>
      </c>
      <c r="AD360">
        <v>176.3</v>
      </c>
    </row>
    <row r="361" spans="1:30" hidden="1" x14ac:dyDescent="0.25">
      <c r="A361" t="s">
        <v>35</v>
      </c>
      <c r="B361">
        <v>2023</v>
      </c>
      <c r="C361" t="s">
        <v>38</v>
      </c>
      <c r="D361">
        <v>174.4</v>
      </c>
      <c r="E361">
        <v>207.7</v>
      </c>
      <c r="F361">
        <v>175.2</v>
      </c>
      <c r="G361">
        <v>177.3</v>
      </c>
      <c r="H361">
        <v>179.2</v>
      </c>
      <c r="I361">
        <v>169.5</v>
      </c>
      <c r="J361">
        <v>152.80000000000001</v>
      </c>
      <c r="K361">
        <v>171.1</v>
      </c>
      <c r="L361">
        <v>120</v>
      </c>
      <c r="M361">
        <v>209.7</v>
      </c>
      <c r="N361">
        <v>172.3</v>
      </c>
      <c r="O361">
        <v>193</v>
      </c>
      <c r="P361">
        <v>177</v>
      </c>
      <c r="Q361">
        <v>199.5</v>
      </c>
      <c r="R361">
        <v>186.1</v>
      </c>
      <c r="S361">
        <v>178.7</v>
      </c>
      <c r="T361">
        <v>185.1</v>
      </c>
      <c r="U361" t="s">
        <v>162</v>
      </c>
      <c r="V361">
        <v>181.9</v>
      </c>
      <c r="W361">
        <v>174.2</v>
      </c>
      <c r="X361">
        <v>184.4</v>
      </c>
      <c r="Y361">
        <v>164.2</v>
      </c>
      <c r="Z361">
        <v>170.3</v>
      </c>
      <c r="AA361">
        <v>175</v>
      </c>
      <c r="AB361">
        <v>181</v>
      </c>
      <c r="AC361">
        <v>174.1</v>
      </c>
      <c r="AD361">
        <v>177.2</v>
      </c>
    </row>
    <row r="362" spans="1:30" hidden="1" x14ac:dyDescent="0.25">
      <c r="A362" t="s">
        <v>30</v>
      </c>
      <c r="B362">
        <v>2023</v>
      </c>
      <c r="C362" t="s">
        <v>39</v>
      </c>
      <c r="D362">
        <v>173.3</v>
      </c>
      <c r="E362">
        <v>206.9</v>
      </c>
      <c r="F362">
        <v>167.9</v>
      </c>
      <c r="G362">
        <v>178.2</v>
      </c>
      <c r="H362">
        <v>178.5</v>
      </c>
      <c r="I362">
        <v>173.7</v>
      </c>
      <c r="J362">
        <v>142.80000000000001</v>
      </c>
      <c r="K362">
        <v>172.8</v>
      </c>
      <c r="L362">
        <v>120.4</v>
      </c>
      <c r="M362">
        <v>215.5</v>
      </c>
      <c r="N362">
        <v>178.2</v>
      </c>
      <c r="O362">
        <v>190.5</v>
      </c>
      <c r="P362">
        <v>175.5</v>
      </c>
      <c r="Q362">
        <v>199.5</v>
      </c>
      <c r="R362">
        <v>190.7</v>
      </c>
      <c r="S362">
        <v>187.3</v>
      </c>
      <c r="T362">
        <v>190.2</v>
      </c>
      <c r="U362" t="s">
        <v>139</v>
      </c>
      <c r="V362">
        <v>181.5</v>
      </c>
      <c r="W362">
        <v>179.1</v>
      </c>
      <c r="X362">
        <v>187.2</v>
      </c>
      <c r="Y362">
        <v>169.4</v>
      </c>
      <c r="Z362">
        <v>173.2</v>
      </c>
      <c r="AA362">
        <v>179.4</v>
      </c>
      <c r="AB362">
        <v>183.8</v>
      </c>
      <c r="AC362">
        <v>178.9</v>
      </c>
      <c r="AD362">
        <v>178.8</v>
      </c>
    </row>
    <row r="363" spans="1:30" hidden="1" x14ac:dyDescent="0.25">
      <c r="A363" t="s">
        <v>33</v>
      </c>
      <c r="B363">
        <v>2023</v>
      </c>
      <c r="C363" t="s">
        <v>39</v>
      </c>
      <c r="D363">
        <v>174.8</v>
      </c>
      <c r="E363">
        <v>213.7</v>
      </c>
      <c r="F363">
        <v>172.4</v>
      </c>
      <c r="G363">
        <v>178.8</v>
      </c>
      <c r="H363">
        <v>168.7</v>
      </c>
      <c r="I363">
        <v>179.2</v>
      </c>
      <c r="J363">
        <v>179.9</v>
      </c>
      <c r="K363">
        <v>174.7</v>
      </c>
      <c r="L363">
        <v>123.1</v>
      </c>
      <c r="M363">
        <v>207.8</v>
      </c>
      <c r="N363">
        <v>165.5</v>
      </c>
      <c r="O363">
        <v>197</v>
      </c>
      <c r="P363">
        <v>182.1</v>
      </c>
      <c r="Q363">
        <v>203.5</v>
      </c>
      <c r="R363">
        <v>181</v>
      </c>
      <c r="S363">
        <v>167.7</v>
      </c>
      <c r="T363">
        <v>178.9</v>
      </c>
      <c r="U363" t="s">
        <v>163</v>
      </c>
      <c r="V363">
        <v>182.1</v>
      </c>
      <c r="W363">
        <v>169.6</v>
      </c>
      <c r="X363">
        <v>181.5</v>
      </c>
      <c r="Y363">
        <v>160.1</v>
      </c>
      <c r="Z363">
        <v>168.8</v>
      </c>
      <c r="AA363">
        <v>174.2</v>
      </c>
      <c r="AB363">
        <v>184.4</v>
      </c>
      <c r="AC363">
        <v>170.9</v>
      </c>
      <c r="AD363">
        <v>177.4</v>
      </c>
    </row>
    <row r="364" spans="1:30" hidden="1" x14ac:dyDescent="0.25">
      <c r="A364" t="s">
        <v>35</v>
      </c>
      <c r="B364">
        <v>2023</v>
      </c>
      <c r="C364" t="s">
        <v>39</v>
      </c>
      <c r="D364">
        <v>173.8</v>
      </c>
      <c r="E364">
        <v>209.3</v>
      </c>
      <c r="F364">
        <v>169.6</v>
      </c>
      <c r="G364">
        <v>178.4</v>
      </c>
      <c r="H364">
        <v>174.9</v>
      </c>
      <c r="I364">
        <v>176.3</v>
      </c>
      <c r="J364">
        <v>155.4</v>
      </c>
      <c r="K364">
        <v>173.4</v>
      </c>
      <c r="L364">
        <v>121.3</v>
      </c>
      <c r="M364">
        <v>212.9</v>
      </c>
      <c r="N364">
        <v>172.9</v>
      </c>
      <c r="O364">
        <v>193.5</v>
      </c>
      <c r="P364">
        <v>177.9</v>
      </c>
      <c r="Q364">
        <v>200.6</v>
      </c>
      <c r="R364">
        <v>186.9</v>
      </c>
      <c r="S364">
        <v>179.2</v>
      </c>
      <c r="T364">
        <v>185.7</v>
      </c>
      <c r="U364" t="s">
        <v>163</v>
      </c>
      <c r="V364">
        <v>181.7</v>
      </c>
      <c r="W364">
        <v>174.6</v>
      </c>
      <c r="X364">
        <v>185</v>
      </c>
      <c r="Y364">
        <v>164.5</v>
      </c>
      <c r="Z364">
        <v>170.7</v>
      </c>
      <c r="AA364">
        <v>176.4</v>
      </c>
      <c r="AB364">
        <v>184</v>
      </c>
      <c r="AC364">
        <v>175</v>
      </c>
      <c r="AD364">
        <v>178.1</v>
      </c>
    </row>
    <row r="365" spans="1:30" hidden="1" x14ac:dyDescent="0.25">
      <c r="A365" t="s">
        <v>30</v>
      </c>
      <c r="B365">
        <v>2023</v>
      </c>
      <c r="C365" t="s">
        <v>41</v>
      </c>
      <c r="D365">
        <v>173.2</v>
      </c>
      <c r="E365">
        <v>211.5</v>
      </c>
      <c r="F365">
        <v>171</v>
      </c>
      <c r="G365">
        <v>179.6</v>
      </c>
      <c r="H365">
        <v>173.3</v>
      </c>
      <c r="I365">
        <v>169</v>
      </c>
      <c r="J365">
        <v>148.69999999999999</v>
      </c>
      <c r="K365">
        <v>174.9</v>
      </c>
      <c r="L365">
        <v>121.9</v>
      </c>
      <c r="M365">
        <v>221</v>
      </c>
      <c r="N365">
        <v>178.7</v>
      </c>
      <c r="O365">
        <v>191.1</v>
      </c>
      <c r="P365">
        <v>176.8</v>
      </c>
      <c r="Q365">
        <v>199.9</v>
      </c>
      <c r="R365">
        <v>191.2</v>
      </c>
      <c r="S365">
        <v>187.9</v>
      </c>
      <c r="T365">
        <v>190.8</v>
      </c>
      <c r="U365" t="s">
        <v>139</v>
      </c>
      <c r="V365">
        <v>182.5</v>
      </c>
      <c r="W365">
        <v>179.8</v>
      </c>
      <c r="X365">
        <v>187.8</v>
      </c>
      <c r="Y365">
        <v>169.7</v>
      </c>
      <c r="Z365">
        <v>173.8</v>
      </c>
      <c r="AA365">
        <v>180.3</v>
      </c>
      <c r="AB365">
        <v>184.9</v>
      </c>
      <c r="AC365">
        <v>179.5</v>
      </c>
      <c r="AD365">
        <v>179.8</v>
      </c>
    </row>
    <row r="366" spans="1:30" hidden="1" x14ac:dyDescent="0.25">
      <c r="A366" t="s">
        <v>33</v>
      </c>
      <c r="B366">
        <v>2023</v>
      </c>
      <c r="C366" t="s">
        <v>41</v>
      </c>
      <c r="D366">
        <v>174.7</v>
      </c>
      <c r="E366">
        <v>219.4</v>
      </c>
      <c r="F366">
        <v>176.7</v>
      </c>
      <c r="G366">
        <v>179.4</v>
      </c>
      <c r="H366">
        <v>164.4</v>
      </c>
      <c r="I366">
        <v>175.8</v>
      </c>
      <c r="J366">
        <v>185</v>
      </c>
      <c r="K366">
        <v>176.9</v>
      </c>
      <c r="L366">
        <v>124.2</v>
      </c>
      <c r="M366">
        <v>211.9</v>
      </c>
      <c r="N366">
        <v>165.9</v>
      </c>
      <c r="O366">
        <v>197.7</v>
      </c>
      <c r="P366">
        <v>183.1</v>
      </c>
      <c r="Q366">
        <v>204.2</v>
      </c>
      <c r="R366">
        <v>181.3</v>
      </c>
      <c r="S366">
        <v>168.1</v>
      </c>
      <c r="T366">
        <v>179.3</v>
      </c>
      <c r="U366" t="s">
        <v>164</v>
      </c>
      <c r="V366">
        <v>183.4</v>
      </c>
      <c r="W366">
        <v>170.1</v>
      </c>
      <c r="X366">
        <v>182.2</v>
      </c>
      <c r="Y366">
        <v>160.4</v>
      </c>
      <c r="Z366">
        <v>169.2</v>
      </c>
      <c r="AA366">
        <v>174.8</v>
      </c>
      <c r="AB366">
        <v>185.6</v>
      </c>
      <c r="AC366">
        <v>171.6</v>
      </c>
      <c r="AD366">
        <v>178.2</v>
      </c>
    </row>
    <row r="367" spans="1:30" hidden="1" x14ac:dyDescent="0.25">
      <c r="A367" t="s">
        <v>35</v>
      </c>
      <c r="B367">
        <v>2023</v>
      </c>
      <c r="C367" t="s">
        <v>41</v>
      </c>
      <c r="D367">
        <v>173.7</v>
      </c>
      <c r="E367">
        <v>214.3</v>
      </c>
      <c r="F367">
        <v>173.2</v>
      </c>
      <c r="G367">
        <v>179.5</v>
      </c>
      <c r="H367">
        <v>170</v>
      </c>
      <c r="I367">
        <v>172.2</v>
      </c>
      <c r="J367">
        <v>161</v>
      </c>
      <c r="K367">
        <v>175.6</v>
      </c>
      <c r="L367">
        <v>122.7</v>
      </c>
      <c r="M367">
        <v>218</v>
      </c>
      <c r="N367">
        <v>173.4</v>
      </c>
      <c r="O367">
        <v>194.2</v>
      </c>
      <c r="P367">
        <v>179.1</v>
      </c>
      <c r="Q367">
        <v>201</v>
      </c>
      <c r="R367">
        <v>187.3</v>
      </c>
      <c r="S367">
        <v>179.7</v>
      </c>
      <c r="T367">
        <v>186.2</v>
      </c>
      <c r="U367" t="s">
        <v>164</v>
      </c>
      <c r="V367">
        <v>182.8</v>
      </c>
      <c r="W367">
        <v>175.2</v>
      </c>
      <c r="X367">
        <v>185.7</v>
      </c>
      <c r="Y367">
        <v>164.8</v>
      </c>
      <c r="Z367">
        <v>171.2</v>
      </c>
      <c r="AA367">
        <v>177.1</v>
      </c>
      <c r="AB367">
        <v>185.2</v>
      </c>
      <c r="AC367">
        <v>175.7</v>
      </c>
      <c r="AD367">
        <v>179.1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4770-283E-4A5F-A1C7-217B06C83523}">
  <dimension ref="N4:O9"/>
  <sheetViews>
    <sheetView showGridLines="0" tabSelected="1" topLeftCell="A21" zoomScaleNormal="100" workbookViewId="0">
      <selection activeCell="T43" sqref="T43"/>
    </sheetView>
  </sheetViews>
  <sheetFormatPr defaultRowHeight="15" x14ac:dyDescent="0.25"/>
  <cols>
    <col min="14" max="14" width="29" bestFit="1" customWidth="1"/>
    <col min="15" max="15" width="10.7109375" bestFit="1" customWidth="1"/>
  </cols>
  <sheetData>
    <row r="4" spans="14:15" x14ac:dyDescent="0.25">
      <c r="N4" s="3"/>
      <c r="O4" s="11"/>
    </row>
    <row r="5" spans="14:15" x14ac:dyDescent="0.25">
      <c r="N5" s="3"/>
    </row>
    <row r="6" spans="14:15" x14ac:dyDescent="0.25">
      <c r="N6" s="3"/>
    </row>
    <row r="7" spans="14:15" x14ac:dyDescent="0.25">
      <c r="N7" s="3"/>
    </row>
    <row r="8" spans="14:15" x14ac:dyDescent="0.25">
      <c r="N8" s="3"/>
    </row>
    <row r="9" spans="14:15" x14ac:dyDescent="0.25">
      <c r="N9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43EB5-F457-4F62-87B4-267A1C05C856}">
  <dimension ref="A1:AD36"/>
  <sheetViews>
    <sheetView topLeftCell="H4" zoomScale="115" zoomScaleNormal="115" workbookViewId="0">
      <selection activeCell="I16" sqref="I16"/>
    </sheetView>
  </sheetViews>
  <sheetFormatPr defaultRowHeight="15" x14ac:dyDescent="0.25"/>
  <cols>
    <col min="4" max="4" width="32.42578125" customWidth="1"/>
    <col min="5" max="5" width="12" customWidth="1"/>
    <col min="6" max="6" width="11.5703125" customWidth="1"/>
    <col min="7" max="7" width="13.7109375" customWidth="1"/>
    <col min="8" max="8" width="28.42578125" bestFit="1" customWidth="1"/>
    <col min="11" max="11" width="33.42578125" bestFit="1" customWidth="1"/>
    <col min="12" max="12" width="12.28515625" customWidth="1"/>
    <col min="13" max="13" width="13.7109375" customWidth="1"/>
    <col min="14" max="14" width="23.42578125" bestFit="1" customWidth="1"/>
    <col min="17" max="17" width="16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>
        <v>2023</v>
      </c>
      <c r="C2" t="s">
        <v>41</v>
      </c>
      <c r="D2">
        <v>173.2</v>
      </c>
      <c r="E2">
        <v>211.5</v>
      </c>
      <c r="F2">
        <v>171</v>
      </c>
      <c r="G2">
        <v>179.6</v>
      </c>
      <c r="H2">
        <v>173.3</v>
      </c>
      <c r="I2">
        <v>169</v>
      </c>
      <c r="J2">
        <v>148.69999999999999</v>
      </c>
      <c r="K2">
        <v>174.9</v>
      </c>
      <c r="L2">
        <v>121.9</v>
      </c>
      <c r="M2">
        <v>221</v>
      </c>
      <c r="N2">
        <v>178.7</v>
      </c>
      <c r="O2">
        <v>191.1</v>
      </c>
      <c r="P2">
        <v>176.8</v>
      </c>
      <c r="Q2">
        <v>199.9</v>
      </c>
      <c r="R2">
        <v>191.2</v>
      </c>
      <c r="S2">
        <v>187.9</v>
      </c>
      <c r="T2">
        <v>190.8</v>
      </c>
      <c r="V2">
        <v>182.5</v>
      </c>
      <c r="W2">
        <v>179.8</v>
      </c>
      <c r="X2">
        <v>187.8</v>
      </c>
      <c r="Y2">
        <v>169.7</v>
      </c>
      <c r="Z2">
        <v>173.8</v>
      </c>
      <c r="AA2">
        <v>180.3</v>
      </c>
      <c r="AB2">
        <v>184.9</v>
      </c>
      <c r="AC2">
        <v>179.5</v>
      </c>
      <c r="AD2">
        <v>179.8</v>
      </c>
    </row>
    <row r="3" spans="1:30" x14ac:dyDescent="0.25">
      <c r="A3" t="s">
        <v>33</v>
      </c>
      <c r="B3">
        <v>2023</v>
      </c>
      <c r="C3" t="s">
        <v>41</v>
      </c>
      <c r="D3">
        <v>174.7</v>
      </c>
      <c r="E3">
        <v>219.4</v>
      </c>
      <c r="F3">
        <v>176.7</v>
      </c>
      <c r="G3">
        <v>179.4</v>
      </c>
      <c r="H3">
        <v>164.4</v>
      </c>
      <c r="I3">
        <v>175.8</v>
      </c>
      <c r="J3">
        <v>185</v>
      </c>
      <c r="K3">
        <v>176.9</v>
      </c>
      <c r="L3">
        <v>124.2</v>
      </c>
      <c r="M3">
        <v>211.9</v>
      </c>
      <c r="N3">
        <v>165.9</v>
      </c>
      <c r="O3">
        <v>197.7</v>
      </c>
      <c r="P3">
        <v>183.1</v>
      </c>
      <c r="Q3">
        <v>204.2</v>
      </c>
      <c r="R3">
        <v>181.3</v>
      </c>
      <c r="S3">
        <v>168.1</v>
      </c>
      <c r="T3">
        <v>179.3</v>
      </c>
      <c r="U3" t="s">
        <v>164</v>
      </c>
      <c r="V3">
        <v>183.4</v>
      </c>
      <c r="W3">
        <v>170.1</v>
      </c>
      <c r="X3">
        <v>182.2</v>
      </c>
      <c r="Y3">
        <v>160.4</v>
      </c>
      <c r="Z3">
        <v>169.2</v>
      </c>
      <c r="AA3">
        <v>174.8</v>
      </c>
      <c r="AB3">
        <v>185.6</v>
      </c>
      <c r="AC3">
        <v>171.6</v>
      </c>
      <c r="AD3">
        <v>178.2</v>
      </c>
    </row>
    <row r="4" spans="1:30" x14ac:dyDescent="0.25">
      <c r="A4" t="s">
        <v>35</v>
      </c>
      <c r="B4">
        <v>2023</v>
      </c>
      <c r="C4" t="s">
        <v>41</v>
      </c>
      <c r="D4">
        <v>173.7</v>
      </c>
      <c r="E4">
        <v>214.3</v>
      </c>
      <c r="F4">
        <v>173.2</v>
      </c>
      <c r="G4">
        <v>179.5</v>
      </c>
      <c r="H4">
        <v>170</v>
      </c>
      <c r="I4">
        <v>172.2</v>
      </c>
      <c r="J4">
        <v>161</v>
      </c>
      <c r="K4">
        <v>175.6</v>
      </c>
      <c r="L4">
        <v>122.7</v>
      </c>
      <c r="M4">
        <v>218</v>
      </c>
      <c r="N4">
        <v>173.4</v>
      </c>
      <c r="O4">
        <v>194.2</v>
      </c>
      <c r="P4">
        <v>179.1</v>
      </c>
      <c r="Q4">
        <v>201</v>
      </c>
      <c r="R4">
        <v>187.3</v>
      </c>
      <c r="S4">
        <v>179.7</v>
      </c>
      <c r="T4">
        <v>186.2</v>
      </c>
      <c r="U4" t="s">
        <v>164</v>
      </c>
      <c r="V4">
        <v>182.8</v>
      </c>
      <c r="W4">
        <v>175.2</v>
      </c>
      <c r="X4">
        <v>185.7</v>
      </c>
      <c r="Y4">
        <v>164.8</v>
      </c>
      <c r="Z4">
        <v>171.2</v>
      </c>
      <c r="AA4">
        <v>177.1</v>
      </c>
      <c r="AB4">
        <v>185.2</v>
      </c>
      <c r="AC4">
        <v>175.7</v>
      </c>
      <c r="AD4">
        <v>179.1</v>
      </c>
    </row>
    <row r="9" spans="1:30" x14ac:dyDescent="0.25">
      <c r="E9" s="13" t="s">
        <v>30</v>
      </c>
      <c r="F9" s="13" t="s">
        <v>33</v>
      </c>
      <c r="G9" s="13" t="s">
        <v>35</v>
      </c>
      <c r="H9" s="13" t="s">
        <v>167</v>
      </c>
      <c r="L9" s="16" t="s">
        <v>30</v>
      </c>
      <c r="M9" s="16" t="s">
        <v>33</v>
      </c>
      <c r="N9" s="16" t="s">
        <v>35</v>
      </c>
      <c r="O9" s="16" t="s">
        <v>171</v>
      </c>
      <c r="P9" s="16" t="s">
        <v>172</v>
      </c>
      <c r="Q9" s="16" t="s">
        <v>173</v>
      </c>
    </row>
    <row r="10" spans="1:30" x14ac:dyDescent="0.25">
      <c r="D10" s="12" t="s">
        <v>3</v>
      </c>
      <c r="E10" s="14">
        <f>HLOOKUP(D10,$A$1:$AD$4,2,FALSE)</f>
        <v>173.2</v>
      </c>
      <c r="F10" s="14">
        <f>HLOOKUP(D10,$A$1:$AD$4,3,FALSE)</f>
        <v>174.7</v>
      </c>
      <c r="G10" s="14">
        <f>HLOOKUP(D10,$A$1:$AD$4,4,FALSE)</f>
        <v>173.7</v>
      </c>
      <c r="H10" s="15" t="s">
        <v>168</v>
      </c>
      <c r="K10" s="17" t="s">
        <v>168</v>
      </c>
      <c r="L10" s="15">
        <f>SUMIF($H$10:$H$36,K10,$E$10:$E$36)</f>
        <v>2290.7000000000007</v>
      </c>
      <c r="M10" s="15">
        <f>SUMIF($H$10:$H$36,K10,$F$10:$F$36)</f>
        <v>2335.1</v>
      </c>
      <c r="N10" s="15">
        <f>SUMIF($H$10:$H$36,K10,$G$10:$G$36)</f>
        <v>2306.9</v>
      </c>
      <c r="O10" s="18">
        <f>L10/$L$18</f>
        <v>0.50918022583800127</v>
      </c>
      <c r="P10" s="18">
        <f>M10/$M$18</f>
        <v>0.50315671529229256</v>
      </c>
      <c r="Q10" s="18">
        <f>N10/$N$18</f>
        <v>0.49563853557923682</v>
      </c>
    </row>
    <row r="11" spans="1:30" x14ac:dyDescent="0.25">
      <c r="D11" s="12" t="s">
        <v>4</v>
      </c>
      <c r="E11" s="15">
        <v>211.5</v>
      </c>
      <c r="F11" s="15">
        <v>219.4</v>
      </c>
      <c r="G11" s="15">
        <v>214.3</v>
      </c>
      <c r="H11" s="15" t="s">
        <v>168</v>
      </c>
      <c r="K11" s="17" t="s">
        <v>28</v>
      </c>
      <c r="L11" s="15">
        <f t="shared" ref="L11:L17" si="0">SUMIF($H$10:$H$36,K11,$E$10:$E$36)</f>
        <v>379.4</v>
      </c>
      <c r="M11" s="15">
        <f t="shared" ref="M11:M17" si="1">SUMIF($H$10:$H$36,K11,$F$10:$F$36)</f>
        <v>375.79999999999995</v>
      </c>
      <c r="N11" s="15">
        <f t="shared" ref="N11:N17" si="2">SUMIF($H$10:$H$36,K11,$G$10:$G$36)</f>
        <v>376.7</v>
      </c>
      <c r="O11" s="18">
        <f t="shared" ref="O11:O16" si="3">L11/$L$18</f>
        <v>8.4333600071130055E-2</v>
      </c>
      <c r="P11" s="18">
        <f t="shared" ref="P11:P18" si="4">M11/$M$18</f>
        <v>8.0975672822081943E-2</v>
      </c>
      <c r="Q11" s="18">
        <f t="shared" ref="Q11:Q18" si="5">N11/$N$18</f>
        <v>8.0934169817806795E-2</v>
      </c>
    </row>
    <row r="12" spans="1:30" x14ac:dyDescent="0.25">
      <c r="D12" s="12" t="s">
        <v>5</v>
      </c>
      <c r="E12" s="15">
        <v>171</v>
      </c>
      <c r="F12" s="15">
        <v>176.7</v>
      </c>
      <c r="G12" s="15">
        <v>173.2</v>
      </c>
      <c r="H12" s="15" t="s">
        <v>168</v>
      </c>
      <c r="K12" s="17" t="s">
        <v>19</v>
      </c>
      <c r="L12" s="15">
        <f t="shared" si="0"/>
        <v>569.90000000000009</v>
      </c>
      <c r="M12" s="15">
        <f t="shared" si="1"/>
        <v>528.70000000000005</v>
      </c>
      <c r="N12" s="15">
        <f t="shared" si="2"/>
        <v>553.20000000000005</v>
      </c>
      <c r="O12" s="18">
        <f t="shared" si="3"/>
        <v>0.12667822530452563</v>
      </c>
      <c r="P12" s="18">
        <f t="shared" si="4"/>
        <v>0.11392186860307273</v>
      </c>
      <c r="Q12" s="18">
        <f t="shared" si="5"/>
        <v>0.11885527672739772</v>
      </c>
    </row>
    <row r="13" spans="1:30" x14ac:dyDescent="0.25">
      <c r="D13" s="12" t="s">
        <v>6</v>
      </c>
      <c r="E13" s="15">
        <v>179.6</v>
      </c>
      <c r="F13" s="15">
        <v>179.4</v>
      </c>
      <c r="G13" s="15">
        <v>179.5</v>
      </c>
      <c r="H13" s="15" t="s">
        <v>168</v>
      </c>
      <c r="K13" s="17" t="s">
        <v>169</v>
      </c>
      <c r="L13" s="15">
        <f t="shared" si="0"/>
        <v>362.3</v>
      </c>
      <c r="M13" s="15">
        <f t="shared" si="1"/>
        <v>529.1</v>
      </c>
      <c r="N13" s="15">
        <f t="shared" si="2"/>
        <v>533.59999999999991</v>
      </c>
      <c r="O13" s="18">
        <f t="shared" si="3"/>
        <v>8.0532586467502429E-2</v>
      </c>
      <c r="P13" s="18">
        <f t="shared" si="4"/>
        <v>0.11400805878170187</v>
      </c>
      <c r="Q13" s="18">
        <f t="shared" si="5"/>
        <v>0.11464420763148846</v>
      </c>
    </row>
    <row r="14" spans="1:30" x14ac:dyDescent="0.25">
      <c r="D14" s="12" t="s">
        <v>7</v>
      </c>
      <c r="E14" s="15">
        <v>173.3</v>
      </c>
      <c r="F14" s="15">
        <v>164.4</v>
      </c>
      <c r="G14" s="15">
        <v>170</v>
      </c>
      <c r="H14" s="15" t="s">
        <v>168</v>
      </c>
      <c r="K14" s="17" t="s">
        <v>23</v>
      </c>
      <c r="L14" s="15">
        <f t="shared" si="0"/>
        <v>372.70000000000005</v>
      </c>
      <c r="M14" s="15">
        <f t="shared" si="1"/>
        <v>367.79999999999995</v>
      </c>
      <c r="N14" s="15">
        <f t="shared" si="2"/>
        <v>370.9</v>
      </c>
      <c r="O14" s="18">
        <f t="shared" si="3"/>
        <v>8.2844314039299358E-2</v>
      </c>
      <c r="P14" s="18">
        <f t="shared" si="4"/>
        <v>7.9251869249499035E-2</v>
      </c>
      <c r="Q14" s="18">
        <f t="shared" si="5"/>
        <v>7.9688037126160183E-2</v>
      </c>
    </row>
    <row r="15" spans="1:30" x14ac:dyDescent="0.25">
      <c r="D15" s="12" t="s">
        <v>8</v>
      </c>
      <c r="E15" s="15">
        <v>169</v>
      </c>
      <c r="F15" s="15">
        <v>175.8</v>
      </c>
      <c r="G15" s="15">
        <v>172.2</v>
      </c>
      <c r="H15" s="15" t="s">
        <v>168</v>
      </c>
      <c r="K15" s="17" t="s">
        <v>24</v>
      </c>
      <c r="L15" s="15">
        <f t="shared" si="0"/>
        <v>169.7</v>
      </c>
      <c r="M15" s="15">
        <f t="shared" si="1"/>
        <v>160.4</v>
      </c>
      <c r="N15" s="15">
        <f t="shared" si="2"/>
        <v>164.8</v>
      </c>
      <c r="O15" s="18">
        <f t="shared" si="3"/>
        <v>3.7721170089801713E-2</v>
      </c>
      <c r="P15" s="18">
        <f t="shared" si="4"/>
        <v>3.4562261630287243E-2</v>
      </c>
      <c r="Q15" s="18">
        <f t="shared" si="5"/>
        <v>3.5407356479889997E-2</v>
      </c>
    </row>
    <row r="16" spans="1:30" x14ac:dyDescent="0.25">
      <c r="D16" s="12" t="s">
        <v>9</v>
      </c>
      <c r="E16" s="15">
        <v>148.69999999999999</v>
      </c>
      <c r="F16" s="15">
        <v>185</v>
      </c>
      <c r="G16" s="15">
        <v>161</v>
      </c>
      <c r="H16" s="15" t="s">
        <v>168</v>
      </c>
      <c r="K16" s="17" t="s">
        <v>170</v>
      </c>
      <c r="L16" s="15">
        <f t="shared" si="0"/>
        <v>354.1</v>
      </c>
      <c r="M16" s="15">
        <f t="shared" si="1"/>
        <v>344</v>
      </c>
      <c r="N16" s="15">
        <f t="shared" si="2"/>
        <v>348.29999999999995</v>
      </c>
      <c r="O16" s="18">
        <f t="shared" si="3"/>
        <v>7.8709878189739471E-2</v>
      </c>
      <c r="P16" s="18">
        <f t="shared" si="4"/>
        <v>7.4123553621064903E-2</v>
      </c>
      <c r="Q16" s="18">
        <f>N16/$N$18</f>
        <v>7.4832416638019914E-2</v>
      </c>
    </row>
    <row r="17" spans="4:17" x14ac:dyDescent="0.25">
      <c r="D17" s="12" t="s">
        <v>10</v>
      </c>
      <c r="E17" s="15">
        <v>174.9</v>
      </c>
      <c r="F17" s="15">
        <v>176.9</v>
      </c>
      <c r="G17" s="15">
        <v>175.6</v>
      </c>
      <c r="H17" s="15" t="s">
        <v>168</v>
      </c>
      <c r="K17" s="19" t="s">
        <v>29</v>
      </c>
      <c r="L17" s="20">
        <f t="shared" si="0"/>
        <v>179.8</v>
      </c>
      <c r="M17" s="20">
        <f t="shared" si="1"/>
        <v>178.2</v>
      </c>
      <c r="N17" s="20">
        <f t="shared" si="2"/>
        <v>179.1</v>
      </c>
      <c r="O17" s="15"/>
      <c r="P17" s="18"/>
      <c r="Q17" s="18"/>
    </row>
    <row r="18" spans="4:17" x14ac:dyDescent="0.25">
      <c r="D18" s="12" t="s">
        <v>11</v>
      </c>
      <c r="E18" s="15">
        <v>121.9</v>
      </c>
      <c r="F18" s="15">
        <v>124.2</v>
      </c>
      <c r="G18" s="15">
        <v>122.7</v>
      </c>
      <c r="H18" s="15" t="s">
        <v>168</v>
      </c>
      <c r="K18" s="17" t="s">
        <v>174</v>
      </c>
      <c r="L18" s="15">
        <f>SUM(L10:L16)</f>
        <v>4498.8000000000011</v>
      </c>
      <c r="M18" s="15">
        <f t="shared" ref="M18:N18" si="6">SUM(M10:M16)</f>
        <v>4640.8999999999987</v>
      </c>
      <c r="N18" s="15">
        <f t="shared" si="6"/>
        <v>4654.4000000000005</v>
      </c>
      <c r="O18" s="18">
        <f>L18/$L$18</f>
        <v>1</v>
      </c>
      <c r="P18" s="18">
        <f t="shared" si="4"/>
        <v>1</v>
      </c>
      <c r="Q18" s="18">
        <f t="shared" si="5"/>
        <v>1</v>
      </c>
    </row>
    <row r="19" spans="4:17" x14ac:dyDescent="0.25">
      <c r="D19" s="12" t="s">
        <v>12</v>
      </c>
      <c r="E19" s="15">
        <v>221</v>
      </c>
      <c r="F19" s="15">
        <v>211.9</v>
      </c>
      <c r="G19" s="15">
        <v>218</v>
      </c>
      <c r="H19" s="15" t="s">
        <v>168</v>
      </c>
    </row>
    <row r="20" spans="4:17" x14ac:dyDescent="0.25">
      <c r="D20" s="12" t="s">
        <v>13</v>
      </c>
      <c r="E20" s="15">
        <v>178.7</v>
      </c>
      <c r="F20" s="15">
        <v>165.9</v>
      </c>
      <c r="G20" s="15">
        <v>173.4</v>
      </c>
      <c r="H20" s="15" t="s">
        <v>168</v>
      </c>
    </row>
    <row r="21" spans="4:17" x14ac:dyDescent="0.25">
      <c r="D21" s="12" t="s">
        <v>14</v>
      </c>
      <c r="E21" s="15">
        <v>191.1</v>
      </c>
      <c r="F21" s="15">
        <v>197.7</v>
      </c>
      <c r="G21" s="15">
        <v>194.2</v>
      </c>
      <c r="H21" s="15" t="s">
        <v>168</v>
      </c>
    </row>
    <row r="22" spans="4:17" x14ac:dyDescent="0.25">
      <c r="D22" s="12" t="s">
        <v>15</v>
      </c>
      <c r="E22" s="15">
        <v>176.8</v>
      </c>
      <c r="F22" s="15">
        <v>183.1</v>
      </c>
      <c r="G22" s="15">
        <v>179.1</v>
      </c>
      <c r="H22" s="15" t="s">
        <v>168</v>
      </c>
    </row>
    <row r="23" spans="4:17" x14ac:dyDescent="0.25">
      <c r="D23" s="12" t="s">
        <v>16</v>
      </c>
      <c r="E23" s="15">
        <v>199.9</v>
      </c>
      <c r="F23" s="15">
        <v>204.2</v>
      </c>
      <c r="G23" s="15">
        <v>201</v>
      </c>
      <c r="H23" s="15" t="s">
        <v>28</v>
      </c>
    </row>
    <row r="24" spans="4:17" x14ac:dyDescent="0.25">
      <c r="D24" s="12" t="s">
        <v>17</v>
      </c>
      <c r="E24" s="15">
        <v>191.2</v>
      </c>
      <c r="F24" s="15">
        <v>181.3</v>
      </c>
      <c r="G24" s="15">
        <v>187.3</v>
      </c>
      <c r="H24" s="15" t="s">
        <v>19</v>
      </c>
    </row>
    <row r="25" spans="4:17" x14ac:dyDescent="0.25">
      <c r="D25" s="12" t="s">
        <v>18</v>
      </c>
      <c r="E25" s="15">
        <v>187.9</v>
      </c>
      <c r="F25" s="15">
        <v>168.1</v>
      </c>
      <c r="G25" s="15">
        <v>179.7</v>
      </c>
      <c r="H25" s="15" t="s">
        <v>19</v>
      </c>
    </row>
    <row r="26" spans="4:17" x14ac:dyDescent="0.25">
      <c r="D26" s="12" t="s">
        <v>19</v>
      </c>
      <c r="E26" s="15">
        <v>190.8</v>
      </c>
      <c r="F26" s="15">
        <v>179.3</v>
      </c>
      <c r="G26" s="15">
        <v>186.2</v>
      </c>
      <c r="H26" s="15" t="s">
        <v>19</v>
      </c>
    </row>
    <row r="27" spans="4:17" x14ac:dyDescent="0.25">
      <c r="D27" s="12" t="s">
        <v>20</v>
      </c>
      <c r="E27" s="15">
        <v>0</v>
      </c>
      <c r="F27" s="15">
        <v>175.6</v>
      </c>
      <c r="G27" s="15">
        <v>175.6</v>
      </c>
      <c r="H27" s="15" t="s">
        <v>169</v>
      </c>
    </row>
    <row r="28" spans="4:17" x14ac:dyDescent="0.25">
      <c r="D28" s="12" t="s">
        <v>21</v>
      </c>
      <c r="E28" s="15">
        <v>182.5</v>
      </c>
      <c r="F28" s="15">
        <v>183.4</v>
      </c>
      <c r="G28" s="15">
        <v>182.8</v>
      </c>
      <c r="H28" s="15" t="s">
        <v>169</v>
      </c>
    </row>
    <row r="29" spans="4:17" x14ac:dyDescent="0.25">
      <c r="D29" s="12" t="s">
        <v>22</v>
      </c>
      <c r="E29" s="15">
        <v>179.8</v>
      </c>
      <c r="F29" s="15">
        <v>170.1</v>
      </c>
      <c r="G29" s="15">
        <v>175.2</v>
      </c>
      <c r="H29" s="15" t="s">
        <v>169</v>
      </c>
    </row>
    <row r="30" spans="4:17" x14ac:dyDescent="0.25">
      <c r="D30" s="12" t="s">
        <v>23</v>
      </c>
      <c r="E30" s="15">
        <v>187.8</v>
      </c>
      <c r="F30" s="15">
        <v>182.2</v>
      </c>
      <c r="G30" s="15">
        <v>185.7</v>
      </c>
      <c r="H30" s="15" t="s">
        <v>23</v>
      </c>
    </row>
    <row r="31" spans="4:17" x14ac:dyDescent="0.25">
      <c r="D31" s="12" t="s">
        <v>24</v>
      </c>
      <c r="E31" s="15">
        <v>169.7</v>
      </c>
      <c r="F31" s="15">
        <v>160.4</v>
      </c>
      <c r="G31" s="15">
        <v>164.8</v>
      </c>
      <c r="H31" s="15" t="s">
        <v>24</v>
      </c>
    </row>
    <row r="32" spans="4:17" x14ac:dyDescent="0.25">
      <c r="D32" s="12" t="s">
        <v>25</v>
      </c>
      <c r="E32" s="15">
        <v>173.8</v>
      </c>
      <c r="F32" s="15">
        <v>169.2</v>
      </c>
      <c r="G32" s="15">
        <v>171.2</v>
      </c>
      <c r="H32" s="15" t="s">
        <v>170</v>
      </c>
    </row>
    <row r="33" spans="4:8" x14ac:dyDescent="0.25">
      <c r="D33" s="12" t="s">
        <v>26</v>
      </c>
      <c r="E33" s="15">
        <v>180.3</v>
      </c>
      <c r="F33" s="15">
        <v>174.8</v>
      </c>
      <c r="G33" s="15">
        <v>177.1</v>
      </c>
      <c r="H33" s="15" t="s">
        <v>170</v>
      </c>
    </row>
    <row r="34" spans="4:8" x14ac:dyDescent="0.25">
      <c r="D34" s="12" t="s">
        <v>27</v>
      </c>
      <c r="E34" s="15">
        <v>184.9</v>
      </c>
      <c r="F34" s="15">
        <v>185.6</v>
      </c>
      <c r="G34" s="15">
        <v>185.2</v>
      </c>
      <c r="H34" s="15" t="s">
        <v>23</v>
      </c>
    </row>
    <row r="35" spans="4:8" x14ac:dyDescent="0.25">
      <c r="D35" s="12" t="s">
        <v>28</v>
      </c>
      <c r="E35" s="15">
        <v>179.5</v>
      </c>
      <c r="F35" s="15">
        <v>171.6</v>
      </c>
      <c r="G35" s="15">
        <v>175.7</v>
      </c>
      <c r="H35" s="15" t="s">
        <v>28</v>
      </c>
    </row>
    <row r="36" spans="4:8" x14ac:dyDescent="0.25">
      <c r="D36" s="12" t="s">
        <v>29</v>
      </c>
      <c r="E36" s="15">
        <v>179.8</v>
      </c>
      <c r="F36" s="15">
        <v>178.2</v>
      </c>
      <c r="G36" s="15">
        <v>179.1</v>
      </c>
      <c r="H36" s="15" t="s">
        <v>29</v>
      </c>
    </row>
  </sheetData>
  <pageMargins left="0.7" right="0.7" top="0.75" bottom="0.75" header="0.3" footer="0.3"/>
  <ignoredErrors>
    <ignoredError sqref="U3:U4" numberStoredAsText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BFD4-EDA3-4974-9D64-D77441AD10AE}">
  <dimension ref="A1:M223"/>
  <sheetViews>
    <sheetView zoomScale="115" zoomScaleNormal="115" workbookViewId="0">
      <selection activeCell="F1" sqref="F1"/>
    </sheetView>
  </sheetViews>
  <sheetFormatPr defaultRowHeight="15" x14ac:dyDescent="0.25"/>
  <cols>
    <col min="1" max="1" width="12.140625" bestFit="1" customWidth="1"/>
    <col min="2" max="2" width="7.140625" bestFit="1" customWidth="1"/>
    <col min="3" max="3" width="10.42578125" bestFit="1" customWidth="1"/>
    <col min="4" max="4" width="13.42578125" customWidth="1"/>
    <col min="6" max="6" width="12.140625" bestFit="1" customWidth="1"/>
    <col min="8" max="8" width="12.7109375" customWidth="1"/>
    <col min="9" max="9" width="12.140625" customWidth="1"/>
    <col min="10" max="10" width="13.42578125" customWidth="1"/>
    <col min="11" max="11" width="13.28515625" customWidth="1"/>
    <col min="12" max="15" width="10.140625" bestFit="1" customWidth="1"/>
  </cols>
  <sheetData>
    <row r="1" spans="1:13" x14ac:dyDescent="0.25">
      <c r="A1" s="60" t="s">
        <v>0</v>
      </c>
      <c r="B1" s="60" t="s">
        <v>1</v>
      </c>
      <c r="C1" s="60" t="s">
        <v>2</v>
      </c>
      <c r="D1" s="60" t="s">
        <v>29</v>
      </c>
    </row>
    <row r="2" spans="1:13" x14ac:dyDescent="0.25">
      <c r="A2" s="15" t="s">
        <v>30</v>
      </c>
      <c r="B2" s="15">
        <v>2017</v>
      </c>
      <c r="C2" s="15" t="s">
        <v>31</v>
      </c>
      <c r="D2" s="15">
        <v>132.4</v>
      </c>
    </row>
    <row r="3" spans="1:13" x14ac:dyDescent="0.25">
      <c r="A3" s="15" t="s">
        <v>33</v>
      </c>
      <c r="B3" s="15">
        <v>2017</v>
      </c>
      <c r="C3" s="15" t="s">
        <v>31</v>
      </c>
      <c r="D3" s="15">
        <v>127.8</v>
      </c>
      <c r="I3" s="23"/>
    </row>
    <row r="4" spans="1:13" x14ac:dyDescent="0.25">
      <c r="A4" s="15" t="s">
        <v>35</v>
      </c>
      <c r="B4" s="15">
        <v>2017</v>
      </c>
      <c r="C4" s="15" t="s">
        <v>31</v>
      </c>
      <c r="D4" s="15">
        <v>130.30000000000001</v>
      </c>
      <c r="F4" s="60" t="s">
        <v>0</v>
      </c>
      <c r="G4" s="24">
        <v>2017</v>
      </c>
      <c r="H4" s="24">
        <v>2018</v>
      </c>
      <c r="I4" s="25">
        <v>2019</v>
      </c>
      <c r="J4" s="24">
        <v>2020</v>
      </c>
      <c r="K4" s="24">
        <v>2021</v>
      </c>
      <c r="L4" s="24">
        <v>2022</v>
      </c>
      <c r="M4" s="24">
        <v>2023</v>
      </c>
    </row>
    <row r="5" spans="1:13" x14ac:dyDescent="0.25">
      <c r="A5" s="15" t="s">
        <v>30</v>
      </c>
      <c r="B5" s="15">
        <v>2017</v>
      </c>
      <c r="C5" s="15" t="s">
        <v>36</v>
      </c>
      <c r="D5" s="15">
        <v>132.6</v>
      </c>
      <c r="F5" s="26" t="s">
        <v>30</v>
      </c>
      <c r="G5" s="27">
        <f>AVERAGEIFS($D$2:$D$223,$A$2:$A$223,$F5,$B$2:$B$223,G$4)</f>
        <v>135.6333333333333</v>
      </c>
      <c r="H5" s="27">
        <f>AVERAGEIFS($D$2:$D$223,$A$2:$A$223,$F5,$B$2:$B$223,H$4)</f>
        <v>140.73333333333335</v>
      </c>
      <c r="I5" s="27">
        <f>AVERAGEIFS($D$2:$D$223,$A$2:$A$223,$F5,$B$2:$B$223,I$4)</f>
        <v>145.18181818181819</v>
      </c>
      <c r="J5" s="27">
        <f>AVERAGEIFS($D$2:$D$223,$A$2:$A$223,$F5,$B$2:$B$223,J$4)</f>
        <v>154.56</v>
      </c>
      <c r="K5" s="27">
        <f>AVERAGEIFS($D$2:$D$223,$A$2:$A$223,$F5,$B$2:$B$223,K$4)</f>
        <v>162.03333333333333</v>
      </c>
      <c r="L5" s="27">
        <f>AVERAGEIFS($D$2:$D$223,$A$2:$A$223,$F5,$B$2:$B$223,L$4)</f>
        <v>173.125</v>
      </c>
      <c r="M5" s="27">
        <f>AVERAGEIFS($D$2:$D$223,$A$2:$A$223,$F5,$B$2:$B$223,M$4)</f>
        <v>178.47999999999996</v>
      </c>
    </row>
    <row r="6" spans="1:13" x14ac:dyDescent="0.25">
      <c r="A6" s="15" t="s">
        <v>33</v>
      </c>
      <c r="B6" s="15">
        <v>2017</v>
      </c>
      <c r="C6" s="15" t="s">
        <v>36</v>
      </c>
      <c r="D6" s="15">
        <v>128.19999999999999</v>
      </c>
      <c r="F6" s="26" t="s">
        <v>33</v>
      </c>
      <c r="G6" s="27">
        <f>AVERAGEIFS($D$2:$D$223,$A$2:$A$223,$F6,$B$2:$B$223,G$4)</f>
        <v>131.02500000000001</v>
      </c>
      <c r="H6" s="27">
        <f>AVERAGEIFS($D$2:$D$223,$A$2:$A$223,$F6,$B$2:$B$223,H$4)</f>
        <v>136.5</v>
      </c>
      <c r="I6" s="27">
        <f>AVERAGEIFS($D$2:$D$223,$A$2:$A$223,$F6,$B$2:$B$223,I$4)</f>
        <v>143.01818181818183</v>
      </c>
      <c r="J6" s="27">
        <f>AVERAGEIFS($D$2:$D$223,$A$2:$A$223,$F6,$B$2:$B$223,J$4)</f>
        <v>152.05000000000001</v>
      </c>
      <c r="K6" s="27">
        <f>AVERAGEIFS($D$2:$D$223,$A$2:$A$223,$F6,$B$2:$B$223,K$4)</f>
        <v>160.7583333333333</v>
      </c>
      <c r="L6" s="27">
        <f>AVERAGEIFS($D$2:$D$223,$A$2:$A$223,$F6,$B$2:$B$223,L$4)</f>
        <v>170.94999999999996</v>
      </c>
      <c r="M6" s="27">
        <f>AVERAGEIFS($D$2:$D$223,$A$2:$A$223,$F6,$B$2:$B$223,M$4)</f>
        <v>176.61999999999998</v>
      </c>
    </row>
    <row r="7" spans="1:13" x14ac:dyDescent="0.25">
      <c r="A7" s="15" t="s">
        <v>35</v>
      </c>
      <c r="B7" s="15">
        <v>2017</v>
      </c>
      <c r="C7" s="15" t="s">
        <v>36</v>
      </c>
      <c r="D7" s="15">
        <v>130.6</v>
      </c>
      <c r="F7" s="26" t="s">
        <v>35</v>
      </c>
      <c r="G7" s="27">
        <f>AVERAGEIFS($D$2:$D$223,$A$2:$A$223,$F7,$B$2:$B$223,G$4)</f>
        <v>133.5</v>
      </c>
      <c r="H7" s="27">
        <f>AVERAGEIFS($D$2:$D$223,$A$2:$A$223,$F7,$B$2:$B$223,H$4)</f>
        <v>138.77500000000001</v>
      </c>
      <c r="I7" s="27">
        <f>AVERAGEIFS($D$2:$D$223,$A$2:$A$223,$F7,$B$2:$B$223,I$4)</f>
        <v>144.18181818181819</v>
      </c>
      <c r="J7" s="27">
        <f>AVERAGEIFS($D$2:$D$223,$A$2:$A$223,$F7,$B$2:$B$223,J$4)</f>
        <v>153.38000000000002</v>
      </c>
      <c r="K7" s="27">
        <f>AVERAGEIFS($D$2:$D$223,$A$2:$A$223,$F7,$B$2:$B$223,K$4)</f>
        <v>161.45833333333334</v>
      </c>
      <c r="L7" s="27">
        <f>AVERAGEIFS($D$2:$D$223,$A$2:$A$223,$F7,$B$2:$B$223,L$4)</f>
        <v>172.14999999999998</v>
      </c>
      <c r="M7" s="27">
        <f>AVERAGEIFS($D$2:$D$223,$A$2:$A$223,$F7,$B$2:$B$223,M$4)</f>
        <v>177.62</v>
      </c>
    </row>
    <row r="8" spans="1:13" x14ac:dyDescent="0.25">
      <c r="A8" s="15" t="s">
        <v>30</v>
      </c>
      <c r="B8" s="15">
        <v>2017</v>
      </c>
      <c r="C8" s="15" t="s">
        <v>38</v>
      </c>
      <c r="D8" s="15">
        <v>132.80000000000001</v>
      </c>
      <c r="I8" s="22"/>
    </row>
    <row r="9" spans="1:13" x14ac:dyDescent="0.25">
      <c r="A9" s="15" t="s">
        <v>33</v>
      </c>
      <c r="B9" s="15">
        <v>2017</v>
      </c>
      <c r="C9" s="15" t="s">
        <v>38</v>
      </c>
      <c r="D9" s="15">
        <v>128.69999999999999</v>
      </c>
      <c r="I9" s="22"/>
    </row>
    <row r="10" spans="1:13" x14ac:dyDescent="0.25">
      <c r="A10" s="15" t="s">
        <v>35</v>
      </c>
      <c r="B10" s="15">
        <v>2017</v>
      </c>
      <c r="C10" s="15" t="s">
        <v>38</v>
      </c>
      <c r="D10" s="15">
        <v>130.9</v>
      </c>
    </row>
    <row r="11" spans="1:13" x14ac:dyDescent="0.25">
      <c r="A11" s="15" t="s">
        <v>30</v>
      </c>
      <c r="B11" s="15">
        <v>2017</v>
      </c>
      <c r="C11" s="15" t="s">
        <v>39</v>
      </c>
      <c r="D11" s="15">
        <v>132.9</v>
      </c>
    </row>
    <row r="12" spans="1:13" x14ac:dyDescent="0.25">
      <c r="A12" s="15" t="s">
        <v>33</v>
      </c>
      <c r="B12" s="15">
        <v>2017</v>
      </c>
      <c r="C12" s="15" t="s">
        <v>39</v>
      </c>
      <c r="D12" s="15">
        <v>129.1</v>
      </c>
      <c r="F12" s="60" t="s">
        <v>0</v>
      </c>
      <c r="G12" s="24">
        <v>2017</v>
      </c>
      <c r="H12" s="24">
        <v>2018</v>
      </c>
      <c r="I12" s="25">
        <v>2019</v>
      </c>
      <c r="J12" s="24">
        <v>2020</v>
      </c>
      <c r="K12" s="24">
        <v>2021</v>
      </c>
      <c r="L12" s="24">
        <v>2022</v>
      </c>
      <c r="M12" s="24">
        <v>2023</v>
      </c>
    </row>
    <row r="13" spans="1:13" x14ac:dyDescent="0.25">
      <c r="A13" s="15" t="s">
        <v>35</v>
      </c>
      <c r="B13" s="15">
        <v>2017</v>
      </c>
      <c r="C13" s="15" t="s">
        <v>39</v>
      </c>
      <c r="D13" s="15">
        <v>131.1</v>
      </c>
      <c r="F13" s="26" t="s">
        <v>30</v>
      </c>
      <c r="G13" s="27"/>
      <c r="H13" s="18">
        <f>(H5-G5)/G5</f>
        <v>3.760137625952361E-2</v>
      </c>
      <c r="I13" s="18">
        <f t="shared" ref="I13:M13" si="0">(I5-H5)/H5</f>
        <v>3.1609319150768624E-2</v>
      </c>
      <c r="J13" s="18">
        <f t="shared" si="0"/>
        <v>6.4596117720726334E-2</v>
      </c>
      <c r="K13" s="18">
        <f t="shared" si="0"/>
        <v>4.8352311939268436E-2</v>
      </c>
      <c r="L13" s="18">
        <f t="shared" si="0"/>
        <v>6.8452993211273419E-2</v>
      </c>
      <c r="M13" s="18">
        <f t="shared" si="0"/>
        <v>3.0931407942238046E-2</v>
      </c>
    </row>
    <row r="14" spans="1:13" x14ac:dyDescent="0.25">
      <c r="A14" s="15" t="s">
        <v>30</v>
      </c>
      <c r="B14" s="15">
        <v>2017</v>
      </c>
      <c r="C14" s="15" t="s">
        <v>41</v>
      </c>
      <c r="D14" s="15">
        <v>133.30000000000001</v>
      </c>
      <c r="F14" s="26" t="s">
        <v>33</v>
      </c>
      <c r="G14" s="27"/>
      <c r="H14" s="18">
        <f t="shared" ref="H14:M14" si="1">(H6-G6)/G6</f>
        <v>4.17859187178019E-2</v>
      </c>
      <c r="I14" s="18">
        <f t="shared" si="1"/>
        <v>4.7752247752247838E-2</v>
      </c>
      <c r="J14" s="18">
        <f t="shared" si="1"/>
        <v>6.3151538265954738E-2</v>
      </c>
      <c r="K14" s="18">
        <f t="shared" si="1"/>
        <v>5.7272826920968661E-2</v>
      </c>
      <c r="L14" s="18">
        <f t="shared" si="1"/>
        <v>6.3397439220361812E-2</v>
      </c>
      <c r="M14" s="18">
        <f t="shared" si="1"/>
        <v>3.3167592863410457E-2</v>
      </c>
    </row>
    <row r="15" spans="1:13" x14ac:dyDescent="0.25">
      <c r="A15" s="15" t="s">
        <v>33</v>
      </c>
      <c r="B15" s="15">
        <v>2017</v>
      </c>
      <c r="C15" s="15" t="s">
        <v>41</v>
      </c>
      <c r="D15" s="15">
        <v>129.30000000000001</v>
      </c>
      <c r="F15" s="26" t="s">
        <v>35</v>
      </c>
      <c r="G15" s="27"/>
      <c r="H15" s="18">
        <f t="shared" ref="H15:M15" si="2">(H7-G7)/G7</f>
        <v>3.9513108614232254E-2</v>
      </c>
      <c r="I15" s="18">
        <f t="shared" si="2"/>
        <v>3.8961038961038953E-2</v>
      </c>
      <c r="J15" s="18">
        <f t="shared" si="2"/>
        <v>6.3795712484237196E-2</v>
      </c>
      <c r="K15" s="18">
        <f t="shared" si="2"/>
        <v>5.2668752988220872E-2</v>
      </c>
      <c r="L15" s="18">
        <f t="shared" si="2"/>
        <v>6.6219354838709471E-2</v>
      </c>
      <c r="M15" s="18">
        <f t="shared" si="2"/>
        <v>3.1774615161196791E-2</v>
      </c>
    </row>
    <row r="16" spans="1:13" x14ac:dyDescent="0.25">
      <c r="A16" s="15" t="s">
        <v>35</v>
      </c>
      <c r="B16" s="15">
        <v>2017</v>
      </c>
      <c r="C16" s="15" t="s">
        <v>41</v>
      </c>
      <c r="D16" s="15">
        <v>131.4</v>
      </c>
    </row>
    <row r="17" spans="1:13" x14ac:dyDescent="0.25">
      <c r="A17" s="15" t="s">
        <v>30</v>
      </c>
      <c r="B17" s="15">
        <v>2017</v>
      </c>
      <c r="C17" s="15" t="s">
        <v>42</v>
      </c>
      <c r="D17" s="15">
        <v>133.9</v>
      </c>
    </row>
    <row r="18" spans="1:13" x14ac:dyDescent="0.25">
      <c r="A18" s="15" t="s">
        <v>33</v>
      </c>
      <c r="B18" s="15">
        <v>2017</v>
      </c>
      <c r="C18" s="15" t="s">
        <v>42</v>
      </c>
      <c r="D18" s="15">
        <v>129.9</v>
      </c>
      <c r="G18" s="11"/>
    </row>
    <row r="19" spans="1:13" x14ac:dyDescent="0.25">
      <c r="A19" s="15" t="s">
        <v>35</v>
      </c>
      <c r="B19" s="15">
        <v>2017</v>
      </c>
      <c r="C19" s="15" t="s">
        <v>42</v>
      </c>
      <c r="D19" s="15">
        <v>132</v>
      </c>
      <c r="G19" s="11"/>
    </row>
    <row r="20" spans="1:13" x14ac:dyDescent="0.25">
      <c r="A20" s="15" t="s">
        <v>30</v>
      </c>
      <c r="B20" s="15">
        <v>2017</v>
      </c>
      <c r="C20" s="15" t="s">
        <v>44</v>
      </c>
      <c r="D20" s="15">
        <v>136.19999999999999</v>
      </c>
      <c r="G20" s="11"/>
    </row>
    <row r="21" spans="1:13" x14ac:dyDescent="0.25">
      <c r="A21" s="15" t="s">
        <v>33</v>
      </c>
      <c r="B21" s="15">
        <v>2017</v>
      </c>
      <c r="C21" s="15" t="s">
        <v>44</v>
      </c>
      <c r="D21" s="15">
        <v>131.80000000000001</v>
      </c>
      <c r="G21" s="57"/>
      <c r="H21" s="59"/>
      <c r="I21" s="45"/>
      <c r="J21" s="58"/>
      <c r="K21" s="58"/>
      <c r="L21" s="58"/>
      <c r="M21" s="58"/>
    </row>
    <row r="22" spans="1:13" x14ac:dyDescent="0.25">
      <c r="A22" s="15" t="s">
        <v>35</v>
      </c>
      <c r="B22" s="15">
        <v>2017</v>
      </c>
      <c r="C22" s="15" t="s">
        <v>44</v>
      </c>
      <c r="D22" s="15">
        <v>134.19999999999999</v>
      </c>
      <c r="G22" s="57"/>
      <c r="H22" s="59"/>
      <c r="I22" s="45"/>
      <c r="J22" s="58"/>
      <c r="K22" s="58"/>
      <c r="L22" s="58"/>
      <c r="M22" s="58"/>
    </row>
    <row r="23" spans="1:13" x14ac:dyDescent="0.25">
      <c r="A23" s="15" t="s">
        <v>30</v>
      </c>
      <c r="B23" s="15">
        <v>2017</v>
      </c>
      <c r="C23" s="15" t="s">
        <v>46</v>
      </c>
      <c r="D23" s="15">
        <v>137.80000000000001</v>
      </c>
      <c r="G23" s="57"/>
      <c r="H23" s="59"/>
      <c r="I23" s="45"/>
      <c r="J23" s="58"/>
      <c r="K23" s="58"/>
      <c r="L23" s="58"/>
      <c r="M23" s="58"/>
    </row>
    <row r="24" spans="1:13" x14ac:dyDescent="0.25">
      <c r="A24" s="15" t="s">
        <v>33</v>
      </c>
      <c r="B24" s="15">
        <v>2017</v>
      </c>
      <c r="C24" s="15" t="s">
        <v>46</v>
      </c>
      <c r="D24" s="15">
        <v>132.69999999999999</v>
      </c>
      <c r="G24" s="57"/>
      <c r="H24" s="58"/>
      <c r="I24" s="58"/>
      <c r="J24" s="58"/>
      <c r="K24" s="58"/>
      <c r="L24" s="58"/>
      <c r="M24" s="58"/>
    </row>
    <row r="25" spans="1:13" x14ac:dyDescent="0.25">
      <c r="A25" s="15" t="s">
        <v>35</v>
      </c>
      <c r="B25" s="15">
        <v>2017</v>
      </c>
      <c r="C25" s="15" t="s">
        <v>46</v>
      </c>
      <c r="D25" s="15">
        <v>135.4</v>
      </c>
      <c r="G25" s="57"/>
      <c r="H25" s="58"/>
      <c r="I25" s="58"/>
      <c r="J25" s="58"/>
      <c r="K25" s="58"/>
      <c r="L25" s="58"/>
      <c r="M25" s="58"/>
    </row>
    <row r="26" spans="1:13" x14ac:dyDescent="0.25">
      <c r="A26" s="15" t="s">
        <v>30</v>
      </c>
      <c r="B26" s="15">
        <v>2017</v>
      </c>
      <c r="C26" s="15" t="s">
        <v>48</v>
      </c>
      <c r="D26" s="15">
        <v>137.6</v>
      </c>
      <c r="G26" s="11"/>
    </row>
    <row r="27" spans="1:13" x14ac:dyDescent="0.25">
      <c r="A27" s="15" t="s">
        <v>33</v>
      </c>
      <c r="B27" s="15">
        <v>2017</v>
      </c>
      <c r="C27" s="15" t="s">
        <v>48</v>
      </c>
      <c r="D27" s="15">
        <v>132.4</v>
      </c>
      <c r="G27" s="11"/>
    </row>
    <row r="28" spans="1:13" x14ac:dyDescent="0.25">
      <c r="A28" s="15" t="s">
        <v>35</v>
      </c>
      <c r="B28" s="15">
        <v>2017</v>
      </c>
      <c r="C28" s="15" t="s">
        <v>48</v>
      </c>
      <c r="D28" s="15">
        <v>135.19999999999999</v>
      </c>
      <c r="G28" s="11"/>
    </row>
    <row r="29" spans="1:13" x14ac:dyDescent="0.25">
      <c r="A29" s="15" t="s">
        <v>30</v>
      </c>
      <c r="B29" s="15">
        <v>2017</v>
      </c>
      <c r="C29" s="15" t="s">
        <v>50</v>
      </c>
      <c r="D29" s="15">
        <v>138.30000000000001</v>
      </c>
      <c r="G29" s="11"/>
    </row>
    <row r="30" spans="1:13" x14ac:dyDescent="0.25">
      <c r="A30" s="15" t="s">
        <v>33</v>
      </c>
      <c r="B30" s="15">
        <v>2017</v>
      </c>
      <c r="C30" s="15" t="s">
        <v>50</v>
      </c>
      <c r="D30" s="15">
        <v>133.5</v>
      </c>
    </row>
    <row r="31" spans="1:13" x14ac:dyDescent="0.25">
      <c r="A31" s="15" t="s">
        <v>35</v>
      </c>
      <c r="B31" s="15">
        <v>2017</v>
      </c>
      <c r="C31" s="15" t="s">
        <v>50</v>
      </c>
      <c r="D31" s="15">
        <v>136.1</v>
      </c>
    </row>
    <row r="32" spans="1:13" x14ac:dyDescent="0.25">
      <c r="A32" s="15" t="s">
        <v>30</v>
      </c>
      <c r="B32" s="15">
        <v>2017</v>
      </c>
      <c r="C32" s="15" t="s">
        <v>53</v>
      </c>
      <c r="D32" s="15">
        <v>140</v>
      </c>
    </row>
    <row r="33" spans="1:4" x14ac:dyDescent="0.25">
      <c r="A33" s="15" t="s">
        <v>33</v>
      </c>
      <c r="B33" s="15">
        <v>2017</v>
      </c>
      <c r="C33" s="15" t="s">
        <v>53</v>
      </c>
      <c r="D33" s="15">
        <v>134.80000000000001</v>
      </c>
    </row>
    <row r="34" spans="1:4" x14ac:dyDescent="0.25">
      <c r="A34" s="15" t="s">
        <v>35</v>
      </c>
      <c r="B34" s="15">
        <v>2017</v>
      </c>
      <c r="C34" s="15" t="s">
        <v>53</v>
      </c>
      <c r="D34" s="15">
        <v>137.6</v>
      </c>
    </row>
    <row r="35" spans="1:4" x14ac:dyDescent="0.25">
      <c r="A35" s="15" t="s">
        <v>30</v>
      </c>
      <c r="B35" s="15">
        <v>2017</v>
      </c>
      <c r="C35" s="15" t="s">
        <v>55</v>
      </c>
      <c r="D35" s="15">
        <v>139.80000000000001</v>
      </c>
    </row>
    <row r="36" spans="1:4" x14ac:dyDescent="0.25">
      <c r="A36" s="15" t="s">
        <v>33</v>
      </c>
      <c r="B36" s="15">
        <v>2017</v>
      </c>
      <c r="C36" s="15" t="s">
        <v>55</v>
      </c>
      <c r="D36" s="15">
        <v>134.1</v>
      </c>
    </row>
    <row r="37" spans="1:4" x14ac:dyDescent="0.25">
      <c r="A37" s="15" t="s">
        <v>35</v>
      </c>
      <c r="B37" s="15">
        <v>2017</v>
      </c>
      <c r="C37" s="15" t="s">
        <v>55</v>
      </c>
      <c r="D37" s="15">
        <v>137.19999999999999</v>
      </c>
    </row>
    <row r="38" spans="1:4" x14ac:dyDescent="0.25">
      <c r="A38" s="15" t="s">
        <v>30</v>
      </c>
      <c r="B38" s="15">
        <v>2018</v>
      </c>
      <c r="C38" s="15" t="s">
        <v>31</v>
      </c>
      <c r="D38" s="15">
        <v>139.30000000000001</v>
      </c>
    </row>
    <row r="39" spans="1:4" x14ac:dyDescent="0.25">
      <c r="A39" s="15" t="s">
        <v>33</v>
      </c>
      <c r="B39" s="15">
        <v>2018</v>
      </c>
      <c r="C39" s="15" t="s">
        <v>31</v>
      </c>
      <c r="D39" s="15">
        <v>134.1</v>
      </c>
    </row>
    <row r="40" spans="1:4" x14ac:dyDescent="0.25">
      <c r="A40" s="15" t="s">
        <v>35</v>
      </c>
      <c r="B40" s="15">
        <v>2018</v>
      </c>
      <c r="C40" s="15" t="s">
        <v>31</v>
      </c>
      <c r="D40" s="15">
        <v>136.9</v>
      </c>
    </row>
    <row r="41" spans="1:4" x14ac:dyDescent="0.25">
      <c r="A41" s="15" t="s">
        <v>30</v>
      </c>
      <c r="B41" s="15">
        <v>2018</v>
      </c>
      <c r="C41" s="15" t="s">
        <v>36</v>
      </c>
      <c r="D41" s="15">
        <v>138.5</v>
      </c>
    </row>
    <row r="42" spans="1:4" x14ac:dyDescent="0.25">
      <c r="A42" s="15" t="s">
        <v>33</v>
      </c>
      <c r="B42" s="15">
        <v>2018</v>
      </c>
      <c r="C42" s="15" t="s">
        <v>36</v>
      </c>
      <c r="D42" s="15">
        <v>134</v>
      </c>
    </row>
    <row r="43" spans="1:4" x14ac:dyDescent="0.25">
      <c r="A43" s="15" t="s">
        <v>35</v>
      </c>
      <c r="B43" s="15">
        <v>2018</v>
      </c>
      <c r="C43" s="15" t="s">
        <v>36</v>
      </c>
      <c r="D43" s="15">
        <v>136.4</v>
      </c>
    </row>
    <row r="44" spans="1:4" x14ac:dyDescent="0.25">
      <c r="A44" s="15" t="s">
        <v>30</v>
      </c>
      <c r="B44" s="15">
        <v>2018</v>
      </c>
      <c r="C44" s="15" t="s">
        <v>38</v>
      </c>
      <c r="D44" s="15">
        <v>138.69999999999999</v>
      </c>
    </row>
    <row r="45" spans="1:4" x14ac:dyDescent="0.25">
      <c r="A45" s="15" t="s">
        <v>33</v>
      </c>
      <c r="B45" s="15">
        <v>2018</v>
      </c>
      <c r="C45" s="15" t="s">
        <v>38</v>
      </c>
      <c r="D45" s="15">
        <v>134</v>
      </c>
    </row>
    <row r="46" spans="1:4" x14ac:dyDescent="0.25">
      <c r="A46" s="15" t="s">
        <v>35</v>
      </c>
      <c r="B46" s="15">
        <v>2018</v>
      </c>
      <c r="C46" s="15" t="s">
        <v>38</v>
      </c>
      <c r="D46" s="15">
        <v>136.5</v>
      </c>
    </row>
    <row r="47" spans="1:4" x14ac:dyDescent="0.25">
      <c r="A47" s="15" t="s">
        <v>30</v>
      </c>
      <c r="B47" s="15">
        <v>2018</v>
      </c>
      <c r="C47" s="15" t="s">
        <v>39</v>
      </c>
      <c r="D47" s="15">
        <v>139.1</v>
      </c>
    </row>
    <row r="48" spans="1:4" x14ac:dyDescent="0.25">
      <c r="A48" s="15" t="s">
        <v>33</v>
      </c>
      <c r="B48" s="15">
        <v>2018</v>
      </c>
      <c r="C48" s="15" t="s">
        <v>39</v>
      </c>
      <c r="D48" s="15">
        <v>134.80000000000001</v>
      </c>
    </row>
    <row r="49" spans="1:7" x14ac:dyDescent="0.25">
      <c r="A49" s="15" t="s">
        <v>35</v>
      </c>
      <c r="B49" s="15">
        <v>2018</v>
      </c>
      <c r="C49" s="15" t="s">
        <v>39</v>
      </c>
      <c r="D49" s="15">
        <v>137.1</v>
      </c>
      <c r="G49" s="11"/>
    </row>
    <row r="50" spans="1:7" x14ac:dyDescent="0.25">
      <c r="A50" s="15" t="s">
        <v>30</v>
      </c>
      <c r="B50" s="15">
        <v>2018</v>
      </c>
      <c r="C50" s="15" t="s">
        <v>41</v>
      </c>
      <c r="D50" s="15">
        <v>139.80000000000001</v>
      </c>
      <c r="G50" s="11"/>
    </row>
    <row r="51" spans="1:7" x14ac:dyDescent="0.25">
      <c r="A51" s="15" t="s">
        <v>33</v>
      </c>
      <c r="B51" s="15">
        <v>2018</v>
      </c>
      <c r="C51" s="15" t="s">
        <v>41</v>
      </c>
      <c r="D51" s="15">
        <v>135.4</v>
      </c>
      <c r="G51" s="11"/>
    </row>
    <row r="52" spans="1:7" x14ac:dyDescent="0.25">
      <c r="A52" s="15" t="s">
        <v>35</v>
      </c>
      <c r="B52" s="15">
        <v>2018</v>
      </c>
      <c r="C52" s="15" t="s">
        <v>41</v>
      </c>
      <c r="D52" s="15">
        <v>137.80000000000001</v>
      </c>
      <c r="G52" s="11"/>
    </row>
    <row r="53" spans="1:7" x14ac:dyDescent="0.25">
      <c r="A53" s="15" t="s">
        <v>30</v>
      </c>
      <c r="B53" s="15">
        <v>2018</v>
      </c>
      <c r="C53" s="15" t="s">
        <v>42</v>
      </c>
      <c r="D53" s="15">
        <v>140.5</v>
      </c>
      <c r="G53" s="11"/>
    </row>
    <row r="54" spans="1:7" x14ac:dyDescent="0.25">
      <c r="A54" s="15" t="s">
        <v>33</v>
      </c>
      <c r="B54" s="15">
        <v>2018</v>
      </c>
      <c r="C54" s="15" t="s">
        <v>42</v>
      </c>
      <c r="D54" s="15">
        <v>136.19999999999999</v>
      </c>
      <c r="G54" s="11"/>
    </row>
    <row r="55" spans="1:7" x14ac:dyDescent="0.25">
      <c r="A55" s="15" t="s">
        <v>35</v>
      </c>
      <c r="B55" s="15">
        <v>2018</v>
      </c>
      <c r="C55" s="15" t="s">
        <v>42</v>
      </c>
      <c r="D55" s="15">
        <v>138.5</v>
      </c>
      <c r="G55" s="11"/>
    </row>
    <row r="56" spans="1:7" x14ac:dyDescent="0.25">
      <c r="A56" s="15" t="s">
        <v>30</v>
      </c>
      <c r="B56" s="15">
        <v>2018</v>
      </c>
      <c r="C56" s="15" t="s">
        <v>44</v>
      </c>
      <c r="D56" s="15">
        <v>141.80000000000001</v>
      </c>
      <c r="G56" s="11"/>
    </row>
    <row r="57" spans="1:7" x14ac:dyDescent="0.25">
      <c r="A57" s="15" t="s">
        <v>33</v>
      </c>
      <c r="B57" s="15">
        <v>2018</v>
      </c>
      <c r="C57" s="15" t="s">
        <v>44</v>
      </c>
      <c r="D57" s="15">
        <v>137.5</v>
      </c>
      <c r="G57" s="11"/>
    </row>
    <row r="58" spans="1:7" x14ac:dyDescent="0.25">
      <c r="A58" s="15" t="s">
        <v>35</v>
      </c>
      <c r="B58" s="15">
        <v>2018</v>
      </c>
      <c r="C58" s="15" t="s">
        <v>44</v>
      </c>
      <c r="D58" s="15">
        <v>139.80000000000001</v>
      </c>
      <c r="G58" s="11"/>
    </row>
    <row r="59" spans="1:7" x14ac:dyDescent="0.25">
      <c r="A59" s="15" t="s">
        <v>30</v>
      </c>
      <c r="B59" s="15">
        <v>2018</v>
      </c>
      <c r="C59" s="15" t="s">
        <v>46</v>
      </c>
      <c r="D59" s="15">
        <v>142.5</v>
      </c>
      <c r="G59" s="11"/>
    </row>
    <row r="60" spans="1:7" x14ac:dyDescent="0.25">
      <c r="A60" s="15" t="s">
        <v>33</v>
      </c>
      <c r="B60" s="15">
        <v>2018</v>
      </c>
      <c r="C60" s="15" t="s">
        <v>46</v>
      </c>
      <c r="D60" s="15">
        <v>138</v>
      </c>
      <c r="G60" s="11"/>
    </row>
    <row r="61" spans="1:7" x14ac:dyDescent="0.25">
      <c r="A61" s="15" t="s">
        <v>35</v>
      </c>
      <c r="B61" s="15">
        <v>2018</v>
      </c>
      <c r="C61" s="15" t="s">
        <v>46</v>
      </c>
      <c r="D61" s="15">
        <v>140.4</v>
      </c>
      <c r="G61" s="11"/>
    </row>
    <row r="62" spans="1:7" x14ac:dyDescent="0.25">
      <c r="A62" s="15" t="s">
        <v>30</v>
      </c>
      <c r="B62" s="15">
        <v>2018</v>
      </c>
      <c r="C62" s="15" t="s">
        <v>48</v>
      </c>
      <c r="D62" s="15">
        <v>142.1</v>
      </c>
      <c r="G62" s="11"/>
    </row>
    <row r="63" spans="1:7" x14ac:dyDescent="0.25">
      <c r="A63" s="15" t="s">
        <v>33</v>
      </c>
      <c r="B63" s="15">
        <v>2018</v>
      </c>
      <c r="C63" s="15" t="s">
        <v>48</v>
      </c>
      <c r="D63" s="15">
        <v>138.1</v>
      </c>
      <c r="G63" s="11"/>
    </row>
    <row r="64" spans="1:7" x14ac:dyDescent="0.25">
      <c r="A64" s="15" t="s">
        <v>35</v>
      </c>
      <c r="B64" s="15">
        <v>2018</v>
      </c>
      <c r="C64" s="15" t="s">
        <v>48</v>
      </c>
      <c r="D64" s="15">
        <v>140.19999999999999</v>
      </c>
      <c r="G64" s="11"/>
    </row>
    <row r="65" spans="1:7" x14ac:dyDescent="0.25">
      <c r="A65" s="15" t="s">
        <v>30</v>
      </c>
      <c r="B65" s="15">
        <v>2018</v>
      </c>
      <c r="C65" s="15" t="s">
        <v>50</v>
      </c>
      <c r="D65" s="15">
        <v>142.19999999999999</v>
      </c>
      <c r="G65" s="11"/>
    </row>
    <row r="66" spans="1:7" x14ac:dyDescent="0.25">
      <c r="A66" s="15" t="s">
        <v>33</v>
      </c>
      <c r="B66" s="15">
        <v>2018</v>
      </c>
      <c r="C66" s="15" t="s">
        <v>50</v>
      </c>
      <c r="D66" s="15">
        <v>138.9</v>
      </c>
      <c r="G66" s="11"/>
    </row>
    <row r="67" spans="1:7" x14ac:dyDescent="0.25">
      <c r="A67" s="15" t="s">
        <v>35</v>
      </c>
      <c r="B67" s="15">
        <v>2018</v>
      </c>
      <c r="C67" s="15" t="s">
        <v>50</v>
      </c>
      <c r="D67" s="15">
        <v>140.80000000000001</v>
      </c>
      <c r="G67" s="11"/>
    </row>
    <row r="68" spans="1:7" x14ac:dyDescent="0.25">
      <c r="A68" s="15" t="s">
        <v>30</v>
      </c>
      <c r="B68" s="15">
        <v>2018</v>
      </c>
      <c r="C68" s="15" t="s">
        <v>53</v>
      </c>
      <c r="D68" s="15">
        <v>142.4</v>
      </c>
      <c r="G68" s="11"/>
    </row>
    <row r="69" spans="1:7" x14ac:dyDescent="0.25">
      <c r="A69" s="15" t="s">
        <v>33</v>
      </c>
      <c r="B69" s="15">
        <v>2018</v>
      </c>
      <c r="C69" s="15" t="s">
        <v>53</v>
      </c>
      <c r="D69" s="15">
        <v>139</v>
      </c>
      <c r="G69" s="11"/>
    </row>
    <row r="70" spans="1:7" x14ac:dyDescent="0.25">
      <c r="A70" s="15" t="s">
        <v>35</v>
      </c>
      <c r="B70" s="15">
        <v>2018</v>
      </c>
      <c r="C70" s="15" t="s">
        <v>53</v>
      </c>
      <c r="D70" s="15">
        <v>140.80000000000001</v>
      </c>
      <c r="G70" s="11"/>
    </row>
    <row r="71" spans="1:7" x14ac:dyDescent="0.25">
      <c r="A71" s="15" t="s">
        <v>30</v>
      </c>
      <c r="B71" s="15">
        <v>2018</v>
      </c>
      <c r="C71" s="15" t="s">
        <v>55</v>
      </c>
      <c r="D71" s="15">
        <v>141.9</v>
      </c>
      <c r="G71" s="11"/>
    </row>
    <row r="72" spans="1:7" x14ac:dyDescent="0.25">
      <c r="A72" s="15" t="s">
        <v>33</v>
      </c>
      <c r="B72" s="15">
        <v>2018</v>
      </c>
      <c r="C72" s="15" t="s">
        <v>55</v>
      </c>
      <c r="D72" s="15">
        <v>138</v>
      </c>
      <c r="G72" s="11"/>
    </row>
    <row r="73" spans="1:7" x14ac:dyDescent="0.25">
      <c r="A73" s="15" t="s">
        <v>35</v>
      </c>
      <c r="B73" s="15">
        <v>2018</v>
      </c>
      <c r="C73" s="15" t="s">
        <v>55</v>
      </c>
      <c r="D73" s="15">
        <v>140.1</v>
      </c>
      <c r="G73" s="11"/>
    </row>
    <row r="74" spans="1:7" x14ac:dyDescent="0.25">
      <c r="A74" s="15" t="s">
        <v>30</v>
      </c>
      <c r="B74" s="15">
        <v>2019</v>
      </c>
      <c r="C74" s="15" t="s">
        <v>31</v>
      </c>
      <c r="D74" s="15">
        <v>141</v>
      </c>
      <c r="G74" s="11"/>
    </row>
    <row r="75" spans="1:7" x14ac:dyDescent="0.25">
      <c r="A75" s="15" t="s">
        <v>33</v>
      </c>
      <c r="B75" s="15">
        <v>2019</v>
      </c>
      <c r="C75" s="15" t="s">
        <v>31</v>
      </c>
      <c r="D75" s="15">
        <v>138</v>
      </c>
      <c r="G75" s="11"/>
    </row>
    <row r="76" spans="1:7" x14ac:dyDescent="0.25">
      <c r="A76" s="15" t="s">
        <v>35</v>
      </c>
      <c r="B76" s="15">
        <v>2019</v>
      </c>
      <c r="C76" s="15" t="s">
        <v>31</v>
      </c>
      <c r="D76" s="15">
        <v>139.6</v>
      </c>
      <c r="G76" s="11"/>
    </row>
    <row r="77" spans="1:7" x14ac:dyDescent="0.25">
      <c r="A77" s="15" t="s">
        <v>30</v>
      </c>
      <c r="B77" s="15">
        <v>2019</v>
      </c>
      <c r="C77" s="15" t="s">
        <v>36</v>
      </c>
      <c r="D77" s="15">
        <v>141</v>
      </c>
      <c r="G77" s="11"/>
    </row>
    <row r="78" spans="1:7" x14ac:dyDescent="0.25">
      <c r="A78" s="15" t="s">
        <v>33</v>
      </c>
      <c r="B78" s="15">
        <v>2019</v>
      </c>
      <c r="C78" s="15" t="s">
        <v>36</v>
      </c>
      <c r="D78" s="15">
        <v>138.6</v>
      </c>
      <c r="G78" s="11"/>
    </row>
    <row r="79" spans="1:7" x14ac:dyDescent="0.25">
      <c r="A79" s="15" t="s">
        <v>35</v>
      </c>
      <c r="B79" s="15">
        <v>2019</v>
      </c>
      <c r="C79" s="15" t="s">
        <v>36</v>
      </c>
      <c r="D79" s="15">
        <v>139.9</v>
      </c>
      <c r="G79" s="11"/>
    </row>
    <row r="80" spans="1:7" x14ac:dyDescent="0.25">
      <c r="A80" s="15" t="s">
        <v>30</v>
      </c>
      <c r="B80" s="15">
        <v>2019</v>
      </c>
      <c r="C80" s="15" t="s">
        <v>38</v>
      </c>
      <c r="D80" s="15">
        <v>141.19999999999999</v>
      </c>
      <c r="G80" s="11"/>
    </row>
    <row r="81" spans="1:7" x14ac:dyDescent="0.25">
      <c r="A81" s="15" t="s">
        <v>33</v>
      </c>
      <c r="B81" s="15">
        <v>2019</v>
      </c>
      <c r="C81" s="15" t="s">
        <v>38</v>
      </c>
      <c r="D81" s="15">
        <v>139.5</v>
      </c>
      <c r="G81" s="11"/>
    </row>
    <row r="82" spans="1:7" x14ac:dyDescent="0.25">
      <c r="A82" s="15" t="s">
        <v>35</v>
      </c>
      <c r="B82" s="15">
        <v>2019</v>
      </c>
      <c r="C82" s="15" t="s">
        <v>38</v>
      </c>
      <c r="D82" s="15">
        <v>140.4</v>
      </c>
      <c r="G82" s="11"/>
    </row>
    <row r="83" spans="1:7" x14ac:dyDescent="0.25">
      <c r="A83" s="15" t="s">
        <v>30</v>
      </c>
      <c r="B83" s="15">
        <v>2019</v>
      </c>
      <c r="C83" s="15" t="s">
        <v>41</v>
      </c>
      <c r="D83" s="15">
        <v>142.4</v>
      </c>
      <c r="G83" s="11"/>
    </row>
    <row r="84" spans="1:7" x14ac:dyDescent="0.25">
      <c r="A84" s="15" t="s">
        <v>33</v>
      </c>
      <c r="B84" s="15">
        <v>2019</v>
      </c>
      <c r="C84" s="15" t="s">
        <v>41</v>
      </c>
      <c r="D84" s="15">
        <v>141.5</v>
      </c>
      <c r="G84" s="11"/>
    </row>
    <row r="85" spans="1:7" x14ac:dyDescent="0.25">
      <c r="A85" s="15" t="s">
        <v>35</v>
      </c>
      <c r="B85" s="15">
        <v>2019</v>
      </c>
      <c r="C85" s="15" t="s">
        <v>41</v>
      </c>
      <c r="D85" s="15">
        <v>142</v>
      </c>
      <c r="G85" s="11"/>
    </row>
    <row r="86" spans="1:7" x14ac:dyDescent="0.25">
      <c r="A86" s="15" t="s">
        <v>30</v>
      </c>
      <c r="B86" s="15">
        <v>2019</v>
      </c>
      <c r="C86" s="15" t="s">
        <v>42</v>
      </c>
      <c r="D86" s="15">
        <v>143.6</v>
      </c>
      <c r="G86" s="11"/>
    </row>
    <row r="87" spans="1:7" x14ac:dyDescent="0.25">
      <c r="A87" s="15" t="s">
        <v>33</v>
      </c>
      <c r="B87" s="15">
        <v>2019</v>
      </c>
      <c r="C87" s="15" t="s">
        <v>42</v>
      </c>
      <c r="D87" s="15">
        <v>142.1</v>
      </c>
      <c r="G87" s="11"/>
    </row>
    <row r="88" spans="1:7" x14ac:dyDescent="0.25">
      <c r="A88" s="15" t="s">
        <v>35</v>
      </c>
      <c r="B88" s="15">
        <v>2019</v>
      </c>
      <c r="C88" s="15" t="s">
        <v>42</v>
      </c>
      <c r="D88" s="15">
        <v>142.9</v>
      </c>
      <c r="G88" s="11"/>
    </row>
    <row r="89" spans="1:7" x14ac:dyDescent="0.25">
      <c r="A89" s="15" t="s">
        <v>30</v>
      </c>
      <c r="B89" s="15">
        <v>2019</v>
      </c>
      <c r="C89" s="15" t="s">
        <v>44</v>
      </c>
      <c r="D89" s="15">
        <v>144.9</v>
      </c>
      <c r="G89" s="11"/>
    </row>
    <row r="90" spans="1:7" x14ac:dyDescent="0.25">
      <c r="A90" s="15" t="s">
        <v>33</v>
      </c>
      <c r="B90" s="15">
        <v>2019</v>
      </c>
      <c r="C90" s="15" t="s">
        <v>44</v>
      </c>
      <c r="D90" s="15">
        <v>143.30000000000001</v>
      </c>
      <c r="G90" s="11"/>
    </row>
    <row r="91" spans="1:7" x14ac:dyDescent="0.25">
      <c r="A91" s="15" t="s">
        <v>35</v>
      </c>
      <c r="B91" s="15">
        <v>2019</v>
      </c>
      <c r="C91" s="15" t="s">
        <v>44</v>
      </c>
      <c r="D91" s="15">
        <v>144.19999999999999</v>
      </c>
      <c r="G91" s="11"/>
    </row>
    <row r="92" spans="1:7" x14ac:dyDescent="0.25">
      <c r="A92" s="15" t="s">
        <v>30</v>
      </c>
      <c r="B92" s="15">
        <v>2019</v>
      </c>
      <c r="C92" s="15" t="s">
        <v>46</v>
      </c>
      <c r="D92" s="15">
        <v>145.69999999999999</v>
      </c>
      <c r="G92" s="11"/>
    </row>
    <row r="93" spans="1:7" x14ac:dyDescent="0.25">
      <c r="A93" s="15" t="s">
        <v>33</v>
      </c>
      <c r="B93" s="15">
        <v>2019</v>
      </c>
      <c r="C93" s="15" t="s">
        <v>46</v>
      </c>
      <c r="D93" s="15">
        <v>144.19999999999999</v>
      </c>
      <c r="G93" s="11"/>
    </row>
    <row r="94" spans="1:7" x14ac:dyDescent="0.25">
      <c r="A94" s="15" t="s">
        <v>35</v>
      </c>
      <c r="B94" s="15">
        <v>2019</v>
      </c>
      <c r="C94" s="15" t="s">
        <v>46</v>
      </c>
      <c r="D94" s="15">
        <v>145</v>
      </c>
      <c r="G94" s="11"/>
    </row>
    <row r="95" spans="1:7" x14ac:dyDescent="0.25">
      <c r="A95" s="15" t="s">
        <v>30</v>
      </c>
      <c r="B95" s="15">
        <v>2019</v>
      </c>
      <c r="C95" s="15" t="s">
        <v>48</v>
      </c>
      <c r="D95" s="15">
        <v>146.69999999999999</v>
      </c>
      <c r="G95" s="11"/>
    </row>
    <row r="96" spans="1:7" x14ac:dyDescent="0.25">
      <c r="A96" s="15" t="s">
        <v>33</v>
      </c>
      <c r="B96" s="15">
        <v>2019</v>
      </c>
      <c r="C96" s="15" t="s">
        <v>48</v>
      </c>
      <c r="D96" s="15">
        <v>144.69999999999999</v>
      </c>
      <c r="G96" s="11"/>
    </row>
    <row r="97" spans="1:7" x14ac:dyDescent="0.25">
      <c r="A97" s="15" t="s">
        <v>35</v>
      </c>
      <c r="B97" s="15">
        <v>2019</v>
      </c>
      <c r="C97" s="15" t="s">
        <v>48</v>
      </c>
      <c r="D97" s="15">
        <v>145.80000000000001</v>
      </c>
      <c r="G97" s="11"/>
    </row>
    <row r="98" spans="1:7" x14ac:dyDescent="0.25">
      <c r="A98" s="15" t="s">
        <v>30</v>
      </c>
      <c r="B98" s="15">
        <v>2019</v>
      </c>
      <c r="C98" s="15" t="s">
        <v>50</v>
      </c>
      <c r="D98" s="15">
        <v>148.30000000000001</v>
      </c>
      <c r="G98" s="11"/>
    </row>
    <row r="99" spans="1:7" x14ac:dyDescent="0.25">
      <c r="A99" s="15" t="s">
        <v>33</v>
      </c>
      <c r="B99" s="15">
        <v>2019</v>
      </c>
      <c r="C99" s="15" t="s">
        <v>50</v>
      </c>
      <c r="D99" s="15">
        <v>146</v>
      </c>
      <c r="G99" s="11"/>
    </row>
    <row r="100" spans="1:7" x14ac:dyDescent="0.25">
      <c r="A100" s="15" t="s">
        <v>35</v>
      </c>
      <c r="B100" s="15">
        <v>2019</v>
      </c>
      <c r="C100" s="15" t="s">
        <v>50</v>
      </c>
      <c r="D100" s="15">
        <v>147.19999999999999</v>
      </c>
      <c r="G100" s="11"/>
    </row>
    <row r="101" spans="1:7" x14ac:dyDescent="0.25">
      <c r="A101" s="15" t="s">
        <v>30</v>
      </c>
      <c r="B101" s="15">
        <v>2019</v>
      </c>
      <c r="C101" s="15" t="s">
        <v>53</v>
      </c>
      <c r="D101" s="15">
        <v>149.9</v>
      </c>
      <c r="G101" s="11"/>
    </row>
    <row r="102" spans="1:7" x14ac:dyDescent="0.25">
      <c r="A102" s="15" t="s">
        <v>33</v>
      </c>
      <c r="B102" s="15">
        <v>2019</v>
      </c>
      <c r="C102" s="15" t="s">
        <v>53</v>
      </c>
      <c r="D102" s="15">
        <v>147</v>
      </c>
      <c r="G102" s="11"/>
    </row>
    <row r="103" spans="1:7" x14ac:dyDescent="0.25">
      <c r="A103" s="15" t="s">
        <v>35</v>
      </c>
      <c r="B103" s="15">
        <v>2019</v>
      </c>
      <c r="C103" s="15" t="s">
        <v>53</v>
      </c>
      <c r="D103" s="15">
        <v>148.6</v>
      </c>
      <c r="G103" s="11"/>
    </row>
    <row r="104" spans="1:7" x14ac:dyDescent="0.25">
      <c r="A104" s="15" t="s">
        <v>30</v>
      </c>
      <c r="B104" s="15">
        <v>2019</v>
      </c>
      <c r="C104" s="15" t="s">
        <v>55</v>
      </c>
      <c r="D104" s="15">
        <v>152.30000000000001</v>
      </c>
      <c r="G104" s="11"/>
    </row>
    <row r="105" spans="1:7" x14ac:dyDescent="0.25">
      <c r="A105" s="15" t="s">
        <v>33</v>
      </c>
      <c r="B105" s="15">
        <v>2019</v>
      </c>
      <c r="C105" s="15" t="s">
        <v>55</v>
      </c>
      <c r="D105" s="15">
        <v>148.30000000000001</v>
      </c>
      <c r="G105" s="11"/>
    </row>
    <row r="106" spans="1:7" x14ac:dyDescent="0.25">
      <c r="A106" s="15" t="s">
        <v>35</v>
      </c>
      <c r="B106" s="15">
        <v>2019</v>
      </c>
      <c r="C106" s="15" t="s">
        <v>55</v>
      </c>
      <c r="D106" s="15">
        <v>150.4</v>
      </c>
      <c r="G106" s="11"/>
    </row>
    <row r="107" spans="1:7" x14ac:dyDescent="0.25">
      <c r="A107" s="15" t="s">
        <v>30</v>
      </c>
      <c r="B107" s="15">
        <v>2020</v>
      </c>
      <c r="C107" s="15" t="s">
        <v>31</v>
      </c>
      <c r="D107" s="15">
        <v>151.9</v>
      </c>
      <c r="G107" s="11"/>
    </row>
    <row r="108" spans="1:7" x14ac:dyDescent="0.25">
      <c r="A108" s="15" t="s">
        <v>33</v>
      </c>
      <c r="B108" s="15">
        <v>2020</v>
      </c>
      <c r="C108" s="15" t="s">
        <v>31</v>
      </c>
      <c r="D108" s="15">
        <v>148.19999999999999</v>
      </c>
      <c r="G108" s="11"/>
    </row>
    <row r="109" spans="1:7" x14ac:dyDescent="0.25">
      <c r="A109" s="15" t="s">
        <v>35</v>
      </c>
      <c r="B109" s="15">
        <v>2020</v>
      </c>
      <c r="C109" s="15" t="s">
        <v>31</v>
      </c>
      <c r="D109" s="15">
        <v>150.19999999999999</v>
      </c>
      <c r="G109" s="11"/>
    </row>
    <row r="110" spans="1:7" x14ac:dyDescent="0.25">
      <c r="A110" s="15" t="s">
        <v>30</v>
      </c>
      <c r="B110" s="15">
        <v>2020</v>
      </c>
      <c r="C110" s="15" t="s">
        <v>36</v>
      </c>
      <c r="D110" s="15">
        <v>150.4</v>
      </c>
      <c r="G110" s="11"/>
    </row>
    <row r="111" spans="1:7" x14ac:dyDescent="0.25">
      <c r="A111" s="15" t="s">
        <v>33</v>
      </c>
      <c r="B111" s="15">
        <v>2020</v>
      </c>
      <c r="C111" s="15" t="s">
        <v>36</v>
      </c>
      <c r="D111" s="15">
        <v>147.69999999999999</v>
      </c>
      <c r="G111" s="11"/>
    </row>
    <row r="112" spans="1:7" x14ac:dyDescent="0.25">
      <c r="A112" s="15" t="s">
        <v>35</v>
      </c>
      <c r="B112" s="15">
        <v>2020</v>
      </c>
      <c r="C112" s="15" t="s">
        <v>36</v>
      </c>
      <c r="D112" s="15">
        <v>149.1</v>
      </c>
      <c r="G112" s="11"/>
    </row>
    <row r="113" spans="1:7" x14ac:dyDescent="0.25">
      <c r="A113" s="15" t="s">
        <v>30</v>
      </c>
      <c r="B113" s="15">
        <v>2020</v>
      </c>
      <c r="C113" s="15" t="s">
        <v>38</v>
      </c>
      <c r="D113" s="15">
        <v>149.80000000000001</v>
      </c>
      <c r="G113" s="11"/>
    </row>
    <row r="114" spans="1:7" x14ac:dyDescent="0.25">
      <c r="A114" s="15" t="s">
        <v>33</v>
      </c>
      <c r="B114" s="15">
        <v>2020</v>
      </c>
      <c r="C114" s="15" t="s">
        <v>38</v>
      </c>
      <c r="D114" s="15">
        <v>147.30000000000001</v>
      </c>
      <c r="G114" s="11"/>
    </row>
    <row r="115" spans="1:7" x14ac:dyDescent="0.25">
      <c r="A115" s="15" t="s">
        <v>35</v>
      </c>
      <c r="B115" s="15">
        <v>2020</v>
      </c>
      <c r="C115" s="15" t="s">
        <v>38</v>
      </c>
      <c r="D115" s="15">
        <v>148.6</v>
      </c>
      <c r="G115" s="11"/>
    </row>
    <row r="116" spans="1:7" x14ac:dyDescent="0.25">
      <c r="A116" s="15" t="s">
        <v>30</v>
      </c>
      <c r="B116" s="15">
        <v>2020</v>
      </c>
      <c r="C116" s="15" t="s">
        <v>42</v>
      </c>
      <c r="D116" s="15">
        <v>152.69999999999999</v>
      </c>
      <c r="G116" s="11"/>
    </row>
    <row r="117" spans="1:7" x14ac:dyDescent="0.25">
      <c r="A117" s="15" t="s">
        <v>33</v>
      </c>
      <c r="B117" s="15">
        <v>2020</v>
      </c>
      <c r="C117" s="15" t="s">
        <v>42</v>
      </c>
      <c r="D117" s="15">
        <v>150.80000000000001</v>
      </c>
      <c r="G117" s="11"/>
    </row>
    <row r="118" spans="1:7" x14ac:dyDescent="0.25">
      <c r="A118" s="15" t="s">
        <v>35</v>
      </c>
      <c r="B118" s="15">
        <v>2020</v>
      </c>
      <c r="C118" s="15" t="s">
        <v>42</v>
      </c>
      <c r="D118" s="15">
        <v>151.80000000000001</v>
      </c>
      <c r="G118" s="11"/>
    </row>
    <row r="119" spans="1:7" x14ac:dyDescent="0.25">
      <c r="A119" s="15" t="s">
        <v>30</v>
      </c>
      <c r="B119" s="15">
        <v>2020</v>
      </c>
      <c r="C119" s="15" t="s">
        <v>44</v>
      </c>
      <c r="D119" s="15">
        <v>152.69999999999999</v>
      </c>
      <c r="G119" s="11"/>
    </row>
    <row r="120" spans="1:7" x14ac:dyDescent="0.25">
      <c r="A120" s="15" t="s">
        <v>33</v>
      </c>
      <c r="B120" s="15">
        <v>2020</v>
      </c>
      <c r="C120" s="15" t="s">
        <v>44</v>
      </c>
      <c r="D120" s="15">
        <v>150.80000000000001</v>
      </c>
      <c r="G120" s="11"/>
    </row>
    <row r="121" spans="1:7" x14ac:dyDescent="0.25">
      <c r="A121" s="15" t="s">
        <v>35</v>
      </c>
      <c r="B121" s="15">
        <v>2020</v>
      </c>
      <c r="C121" s="15" t="s">
        <v>44</v>
      </c>
      <c r="D121" s="15">
        <v>151.80000000000001</v>
      </c>
      <c r="G121" s="11"/>
    </row>
    <row r="122" spans="1:7" x14ac:dyDescent="0.25">
      <c r="A122" s="15" t="s">
        <v>30</v>
      </c>
      <c r="B122" s="15">
        <v>2020</v>
      </c>
      <c r="C122" s="15" t="s">
        <v>46</v>
      </c>
      <c r="D122" s="15">
        <v>154.69999999999999</v>
      </c>
      <c r="G122" s="11"/>
    </row>
    <row r="123" spans="1:7" x14ac:dyDescent="0.25">
      <c r="A123" s="15" t="s">
        <v>33</v>
      </c>
      <c r="B123" s="15">
        <v>2020</v>
      </c>
      <c r="C123" s="15" t="s">
        <v>46</v>
      </c>
      <c r="D123" s="15">
        <v>152.9</v>
      </c>
      <c r="G123" s="11"/>
    </row>
    <row r="124" spans="1:7" x14ac:dyDescent="0.25">
      <c r="A124" s="15" t="s">
        <v>35</v>
      </c>
      <c r="B124" s="15">
        <v>2020</v>
      </c>
      <c r="C124" s="15" t="s">
        <v>46</v>
      </c>
      <c r="D124" s="15">
        <v>153.9</v>
      </c>
      <c r="G124" s="11"/>
    </row>
    <row r="125" spans="1:7" x14ac:dyDescent="0.25">
      <c r="A125" s="15" t="s">
        <v>30</v>
      </c>
      <c r="B125" s="15">
        <v>2020</v>
      </c>
      <c r="C125" s="15" t="s">
        <v>48</v>
      </c>
      <c r="D125" s="15">
        <v>155.4</v>
      </c>
      <c r="G125" s="11"/>
    </row>
    <row r="126" spans="1:7" x14ac:dyDescent="0.25">
      <c r="A126" s="15" t="s">
        <v>33</v>
      </c>
      <c r="B126" s="15">
        <v>2020</v>
      </c>
      <c r="C126" s="15" t="s">
        <v>48</v>
      </c>
      <c r="D126" s="15">
        <v>154</v>
      </c>
      <c r="G126" s="11"/>
    </row>
    <row r="127" spans="1:7" x14ac:dyDescent="0.25">
      <c r="A127" s="15" t="s">
        <v>35</v>
      </c>
      <c r="B127" s="15">
        <v>2020</v>
      </c>
      <c r="C127" s="15" t="s">
        <v>48</v>
      </c>
      <c r="D127" s="15">
        <v>154.69999999999999</v>
      </c>
      <c r="G127" s="11"/>
    </row>
    <row r="128" spans="1:7" x14ac:dyDescent="0.25">
      <c r="A128" s="15" t="s">
        <v>30</v>
      </c>
      <c r="B128" s="15">
        <v>2020</v>
      </c>
      <c r="C128" s="15" t="s">
        <v>50</v>
      </c>
      <c r="D128" s="15">
        <v>157.5</v>
      </c>
      <c r="G128" s="11"/>
    </row>
    <row r="129" spans="1:7" x14ac:dyDescent="0.25">
      <c r="A129" s="15" t="s">
        <v>33</v>
      </c>
      <c r="B129" s="15">
        <v>2020</v>
      </c>
      <c r="C129" s="15" t="s">
        <v>50</v>
      </c>
      <c r="D129" s="15">
        <v>155.19999999999999</v>
      </c>
      <c r="G129" s="11"/>
    </row>
    <row r="130" spans="1:7" x14ac:dyDescent="0.25">
      <c r="A130" s="15" t="s">
        <v>35</v>
      </c>
      <c r="B130" s="15">
        <v>2020</v>
      </c>
      <c r="C130" s="15" t="s">
        <v>50</v>
      </c>
      <c r="D130" s="15">
        <v>156.4</v>
      </c>
      <c r="G130" s="11"/>
    </row>
    <row r="131" spans="1:7" x14ac:dyDescent="0.25">
      <c r="A131" s="15" t="s">
        <v>30</v>
      </c>
      <c r="B131" s="15">
        <v>2020</v>
      </c>
      <c r="C131" s="15" t="s">
        <v>53</v>
      </c>
      <c r="D131" s="15">
        <v>159.80000000000001</v>
      </c>
      <c r="G131" s="11"/>
    </row>
    <row r="132" spans="1:7" x14ac:dyDescent="0.25">
      <c r="A132" s="15" t="s">
        <v>33</v>
      </c>
      <c r="B132" s="15">
        <v>2020</v>
      </c>
      <c r="C132" s="15" t="s">
        <v>53</v>
      </c>
      <c r="D132" s="15">
        <v>156.69999999999999</v>
      </c>
      <c r="G132" s="11"/>
    </row>
    <row r="133" spans="1:7" x14ac:dyDescent="0.25">
      <c r="A133" s="15" t="s">
        <v>35</v>
      </c>
      <c r="B133" s="15">
        <v>2020</v>
      </c>
      <c r="C133" s="15" t="s">
        <v>53</v>
      </c>
      <c r="D133" s="15">
        <v>158.4</v>
      </c>
      <c r="G133" s="11"/>
    </row>
    <row r="134" spans="1:7" x14ac:dyDescent="0.25">
      <c r="A134" s="15" t="s">
        <v>30</v>
      </c>
      <c r="B134" s="15">
        <v>2020</v>
      </c>
      <c r="C134" s="15" t="s">
        <v>55</v>
      </c>
      <c r="D134" s="15">
        <v>160.69999999999999</v>
      </c>
      <c r="G134" s="11"/>
    </row>
    <row r="135" spans="1:7" x14ac:dyDescent="0.25">
      <c r="A135" s="15" t="s">
        <v>33</v>
      </c>
      <c r="B135" s="15">
        <v>2020</v>
      </c>
      <c r="C135" s="15" t="s">
        <v>55</v>
      </c>
      <c r="D135" s="15">
        <v>156.9</v>
      </c>
      <c r="G135" s="11"/>
    </row>
    <row r="136" spans="1:7" x14ac:dyDescent="0.25">
      <c r="A136" s="15" t="s">
        <v>35</v>
      </c>
      <c r="B136" s="15">
        <v>2020</v>
      </c>
      <c r="C136" s="15" t="s">
        <v>55</v>
      </c>
      <c r="D136" s="15">
        <v>158.9</v>
      </c>
      <c r="G136" s="11"/>
    </row>
    <row r="137" spans="1:7" x14ac:dyDescent="0.25">
      <c r="A137" s="15" t="s">
        <v>30</v>
      </c>
      <c r="B137" s="15">
        <v>2021</v>
      </c>
      <c r="C137" s="15" t="s">
        <v>31</v>
      </c>
      <c r="D137" s="15">
        <v>158.5</v>
      </c>
      <c r="G137" s="11"/>
    </row>
    <row r="138" spans="1:7" x14ac:dyDescent="0.25">
      <c r="A138" s="15" t="s">
        <v>33</v>
      </c>
      <c r="B138" s="15">
        <v>2021</v>
      </c>
      <c r="C138" s="15" t="s">
        <v>31</v>
      </c>
      <c r="D138" s="15">
        <v>156</v>
      </c>
      <c r="G138" s="11"/>
    </row>
    <row r="139" spans="1:7" x14ac:dyDescent="0.25">
      <c r="A139" s="15" t="s">
        <v>35</v>
      </c>
      <c r="B139" s="15">
        <v>2021</v>
      </c>
      <c r="C139" s="15" t="s">
        <v>31</v>
      </c>
      <c r="D139" s="15">
        <v>157.30000000000001</v>
      </c>
      <c r="G139" s="11"/>
    </row>
    <row r="140" spans="1:7" x14ac:dyDescent="0.25">
      <c r="A140" s="15" t="s">
        <v>30</v>
      </c>
      <c r="B140" s="15">
        <v>2021</v>
      </c>
      <c r="C140" s="15" t="s">
        <v>36</v>
      </c>
      <c r="D140" s="15">
        <v>156.69999999999999</v>
      </c>
      <c r="G140" s="11"/>
    </row>
    <row r="141" spans="1:7" x14ac:dyDescent="0.25">
      <c r="A141" s="15" t="s">
        <v>33</v>
      </c>
      <c r="B141" s="15">
        <v>2021</v>
      </c>
      <c r="C141" s="15" t="s">
        <v>36</v>
      </c>
      <c r="D141" s="15">
        <v>156.5</v>
      </c>
      <c r="G141" s="11"/>
    </row>
    <row r="142" spans="1:7" x14ac:dyDescent="0.25">
      <c r="A142" s="15" t="s">
        <v>35</v>
      </c>
      <c r="B142" s="15">
        <v>2021</v>
      </c>
      <c r="C142" s="15" t="s">
        <v>36</v>
      </c>
      <c r="D142" s="15">
        <v>156.6</v>
      </c>
      <c r="G142" s="11"/>
    </row>
    <row r="143" spans="1:7" x14ac:dyDescent="0.25">
      <c r="A143" s="15" t="s">
        <v>30</v>
      </c>
      <c r="B143" s="15">
        <v>2021</v>
      </c>
      <c r="C143" s="15" t="s">
        <v>38</v>
      </c>
      <c r="D143" s="15">
        <v>156.69999999999999</v>
      </c>
      <c r="G143" s="11"/>
    </row>
    <row r="144" spans="1:7" x14ac:dyDescent="0.25">
      <c r="A144" s="15" t="s">
        <v>33</v>
      </c>
      <c r="B144" s="15">
        <v>2021</v>
      </c>
      <c r="C144" s="15" t="s">
        <v>38</v>
      </c>
      <c r="D144" s="15">
        <v>156.9</v>
      </c>
      <c r="G144" s="11"/>
    </row>
    <row r="145" spans="1:7" x14ac:dyDescent="0.25">
      <c r="A145" s="15" t="s">
        <v>35</v>
      </c>
      <c r="B145" s="15">
        <v>2021</v>
      </c>
      <c r="C145" s="15" t="s">
        <v>38</v>
      </c>
      <c r="D145" s="15">
        <v>156.80000000000001</v>
      </c>
      <c r="G145" s="11"/>
    </row>
    <row r="146" spans="1:7" x14ac:dyDescent="0.25">
      <c r="A146" s="15" t="s">
        <v>30</v>
      </c>
      <c r="B146" s="15">
        <v>2021</v>
      </c>
      <c r="C146" s="15" t="s">
        <v>39</v>
      </c>
      <c r="D146" s="15">
        <v>157.6</v>
      </c>
      <c r="G146" s="11"/>
    </row>
    <row r="147" spans="1:7" x14ac:dyDescent="0.25">
      <c r="A147" s="15" t="s">
        <v>33</v>
      </c>
      <c r="B147" s="15">
        <v>2021</v>
      </c>
      <c r="C147" s="15" t="s">
        <v>39</v>
      </c>
      <c r="D147" s="15">
        <v>158</v>
      </c>
      <c r="G147" s="11"/>
    </row>
    <row r="148" spans="1:7" x14ac:dyDescent="0.25">
      <c r="A148" s="15" t="s">
        <v>35</v>
      </c>
      <c r="B148" s="15">
        <v>2021</v>
      </c>
      <c r="C148" s="15" t="s">
        <v>39</v>
      </c>
      <c r="D148" s="15">
        <v>157.80000000000001</v>
      </c>
      <c r="G148" s="11"/>
    </row>
    <row r="149" spans="1:7" x14ac:dyDescent="0.25">
      <c r="A149" s="15" t="s">
        <v>30</v>
      </c>
      <c r="B149" s="15">
        <v>2021</v>
      </c>
      <c r="C149" s="15" t="s">
        <v>41</v>
      </c>
      <c r="D149" s="15">
        <v>161.1</v>
      </c>
      <c r="G149" s="11"/>
    </row>
    <row r="150" spans="1:7" x14ac:dyDescent="0.25">
      <c r="A150" s="15" t="s">
        <v>33</v>
      </c>
      <c r="B150" s="15">
        <v>2021</v>
      </c>
      <c r="C150" s="15" t="s">
        <v>41</v>
      </c>
      <c r="D150" s="15">
        <v>159.5</v>
      </c>
      <c r="G150" s="11"/>
    </row>
    <row r="151" spans="1:7" x14ac:dyDescent="0.25">
      <c r="A151" s="15" t="s">
        <v>35</v>
      </c>
      <c r="B151" s="15">
        <v>2021</v>
      </c>
      <c r="C151" s="15" t="s">
        <v>41</v>
      </c>
      <c r="D151" s="15">
        <v>160.4</v>
      </c>
      <c r="G151" s="11"/>
    </row>
    <row r="152" spans="1:7" x14ac:dyDescent="0.25">
      <c r="A152" s="15" t="s">
        <v>30</v>
      </c>
      <c r="B152" s="15">
        <v>2021</v>
      </c>
      <c r="C152" s="15" t="s">
        <v>42</v>
      </c>
      <c r="D152" s="15">
        <v>162.1</v>
      </c>
      <c r="G152" s="11"/>
    </row>
    <row r="153" spans="1:7" x14ac:dyDescent="0.25">
      <c r="A153" s="15" t="s">
        <v>33</v>
      </c>
      <c r="B153" s="15">
        <v>2021</v>
      </c>
      <c r="C153" s="15" t="s">
        <v>42</v>
      </c>
      <c r="D153" s="15">
        <v>160.4</v>
      </c>
      <c r="G153" s="11"/>
    </row>
    <row r="154" spans="1:7" x14ac:dyDescent="0.25">
      <c r="A154" s="15" t="s">
        <v>35</v>
      </c>
      <c r="B154" s="15">
        <v>2021</v>
      </c>
      <c r="C154" s="15" t="s">
        <v>42</v>
      </c>
      <c r="D154" s="15">
        <v>161.30000000000001</v>
      </c>
      <c r="G154" s="11"/>
    </row>
    <row r="155" spans="1:7" x14ac:dyDescent="0.25">
      <c r="A155" s="15" t="s">
        <v>30</v>
      </c>
      <c r="B155" s="15">
        <v>2021</v>
      </c>
      <c r="C155" s="15" t="s">
        <v>44</v>
      </c>
      <c r="D155" s="15">
        <v>163.19999999999999</v>
      </c>
      <c r="G155" s="11"/>
    </row>
    <row r="156" spans="1:7" x14ac:dyDescent="0.25">
      <c r="A156" s="15" t="s">
        <v>33</v>
      </c>
      <c r="B156" s="15">
        <v>2021</v>
      </c>
      <c r="C156" s="15" t="s">
        <v>44</v>
      </c>
      <c r="D156" s="15">
        <v>161.80000000000001</v>
      </c>
      <c r="G156" s="11"/>
    </row>
    <row r="157" spans="1:7" x14ac:dyDescent="0.25">
      <c r="A157" s="15" t="s">
        <v>35</v>
      </c>
      <c r="B157" s="15">
        <v>2021</v>
      </c>
      <c r="C157" s="15" t="s">
        <v>44</v>
      </c>
      <c r="D157" s="15">
        <v>162.5</v>
      </c>
      <c r="G157" s="11"/>
    </row>
    <row r="158" spans="1:7" x14ac:dyDescent="0.25">
      <c r="A158" s="15" t="s">
        <v>30</v>
      </c>
      <c r="B158" s="15">
        <v>2021</v>
      </c>
      <c r="C158" s="15" t="s">
        <v>46</v>
      </c>
      <c r="D158" s="15">
        <v>163.6</v>
      </c>
      <c r="G158" s="11"/>
    </row>
    <row r="159" spans="1:7" x14ac:dyDescent="0.25">
      <c r="A159" s="15" t="s">
        <v>33</v>
      </c>
      <c r="B159" s="15">
        <v>2021</v>
      </c>
      <c r="C159" s="15" t="s">
        <v>46</v>
      </c>
      <c r="D159" s="15">
        <v>162.30000000000001</v>
      </c>
      <c r="G159" s="11"/>
    </row>
    <row r="160" spans="1:7" x14ac:dyDescent="0.25">
      <c r="A160" s="15" t="s">
        <v>35</v>
      </c>
      <c r="B160" s="15">
        <v>2021</v>
      </c>
      <c r="C160" s="15" t="s">
        <v>46</v>
      </c>
      <c r="D160" s="15">
        <v>163.19999999999999</v>
      </c>
      <c r="G160" s="11"/>
    </row>
    <row r="161" spans="1:7" x14ac:dyDescent="0.25">
      <c r="A161" s="15" t="s">
        <v>30</v>
      </c>
      <c r="B161" s="15">
        <v>2021</v>
      </c>
      <c r="C161" s="15" t="s">
        <v>48</v>
      </c>
      <c r="D161" s="15">
        <v>164</v>
      </c>
      <c r="G161" s="11"/>
    </row>
    <row r="162" spans="1:7" x14ac:dyDescent="0.25">
      <c r="A162" s="15" t="s">
        <v>33</v>
      </c>
      <c r="B162" s="15">
        <v>2021</v>
      </c>
      <c r="C162" s="15" t="s">
        <v>48</v>
      </c>
      <c r="D162" s="15">
        <v>162.30000000000001</v>
      </c>
      <c r="G162" s="11"/>
    </row>
    <row r="163" spans="1:7" x14ac:dyDescent="0.25">
      <c r="A163" s="15" t="s">
        <v>35</v>
      </c>
      <c r="B163" s="15">
        <v>2021</v>
      </c>
      <c r="C163" s="15" t="s">
        <v>48</v>
      </c>
      <c r="D163" s="15">
        <v>163.19999999999999</v>
      </c>
      <c r="G163" s="11"/>
    </row>
    <row r="164" spans="1:7" x14ac:dyDescent="0.25">
      <c r="A164" s="15" t="s">
        <v>30</v>
      </c>
      <c r="B164" s="15">
        <v>2021</v>
      </c>
      <c r="C164" s="15" t="s">
        <v>50</v>
      </c>
      <c r="D164" s="15">
        <v>166.3</v>
      </c>
      <c r="G164" s="11"/>
    </row>
    <row r="165" spans="1:7" x14ac:dyDescent="0.25">
      <c r="A165" s="15" t="s">
        <v>33</v>
      </c>
      <c r="B165" s="15">
        <v>2021</v>
      </c>
      <c r="C165" s="15" t="s">
        <v>50</v>
      </c>
      <c r="D165" s="15">
        <v>164.6</v>
      </c>
      <c r="G165" s="11"/>
    </row>
    <row r="166" spans="1:7" x14ac:dyDescent="0.25">
      <c r="A166" s="15" t="s">
        <v>35</v>
      </c>
      <c r="B166" s="15">
        <v>2021</v>
      </c>
      <c r="C166" s="15" t="s">
        <v>50</v>
      </c>
      <c r="D166" s="15">
        <v>165.5</v>
      </c>
      <c r="G166" s="11"/>
    </row>
    <row r="167" spans="1:7" x14ac:dyDescent="0.25">
      <c r="A167" s="15" t="s">
        <v>30</v>
      </c>
      <c r="B167" s="15">
        <v>2021</v>
      </c>
      <c r="C167" s="15" t="s">
        <v>53</v>
      </c>
      <c r="D167" s="15">
        <v>167.6</v>
      </c>
      <c r="G167" s="11"/>
    </row>
    <row r="168" spans="1:7" x14ac:dyDescent="0.25">
      <c r="A168" s="15" t="s">
        <v>33</v>
      </c>
      <c r="B168" s="15">
        <v>2021</v>
      </c>
      <c r="C168" s="15" t="s">
        <v>53</v>
      </c>
      <c r="D168" s="15">
        <v>165.6</v>
      </c>
      <c r="G168" s="11"/>
    </row>
    <row r="169" spans="1:7" x14ac:dyDescent="0.25">
      <c r="A169" s="15" t="s">
        <v>35</v>
      </c>
      <c r="B169" s="15">
        <v>2021</v>
      </c>
      <c r="C169" s="15" t="s">
        <v>53</v>
      </c>
      <c r="D169" s="15">
        <v>166.7</v>
      </c>
      <c r="G169" s="11"/>
    </row>
    <row r="170" spans="1:7" x14ac:dyDescent="0.25">
      <c r="A170" s="15" t="s">
        <v>30</v>
      </c>
      <c r="B170" s="15">
        <v>2021</v>
      </c>
      <c r="C170" s="15" t="s">
        <v>55</v>
      </c>
      <c r="D170" s="15">
        <v>167</v>
      </c>
      <c r="G170" s="11"/>
    </row>
    <row r="171" spans="1:7" x14ac:dyDescent="0.25">
      <c r="A171" s="15" t="s">
        <v>33</v>
      </c>
      <c r="B171" s="15">
        <v>2021</v>
      </c>
      <c r="C171" s="15" t="s">
        <v>55</v>
      </c>
      <c r="D171" s="15">
        <v>165.2</v>
      </c>
      <c r="G171" s="11"/>
    </row>
    <row r="172" spans="1:7" x14ac:dyDescent="0.25">
      <c r="A172" s="15" t="s">
        <v>35</v>
      </c>
      <c r="B172" s="15">
        <v>2021</v>
      </c>
      <c r="C172" s="15" t="s">
        <v>55</v>
      </c>
      <c r="D172" s="15">
        <v>166.2</v>
      </c>
      <c r="G172" s="11"/>
    </row>
    <row r="173" spans="1:7" x14ac:dyDescent="0.25">
      <c r="A173" s="15" t="s">
        <v>30</v>
      </c>
      <c r="B173" s="15">
        <v>2022</v>
      </c>
      <c r="C173" s="15" t="s">
        <v>31</v>
      </c>
      <c r="D173" s="15">
        <v>166.4</v>
      </c>
      <c r="G173" s="11"/>
    </row>
    <row r="174" spans="1:7" x14ac:dyDescent="0.25">
      <c r="A174" s="15" t="s">
        <v>33</v>
      </c>
      <c r="B174" s="15">
        <v>2022</v>
      </c>
      <c r="C174" s="15" t="s">
        <v>31</v>
      </c>
      <c r="D174" s="15">
        <v>165</v>
      </c>
      <c r="G174" s="11"/>
    </row>
    <row r="175" spans="1:7" x14ac:dyDescent="0.25">
      <c r="A175" s="15" t="s">
        <v>35</v>
      </c>
      <c r="B175" s="15">
        <v>2022</v>
      </c>
      <c r="C175" s="15" t="s">
        <v>31</v>
      </c>
      <c r="D175" s="15">
        <v>165.7</v>
      </c>
      <c r="G175" s="11"/>
    </row>
    <row r="176" spans="1:7" x14ac:dyDescent="0.25">
      <c r="A176" s="15" t="s">
        <v>30</v>
      </c>
      <c r="B176" s="15">
        <v>2022</v>
      </c>
      <c r="C176" s="15" t="s">
        <v>36</v>
      </c>
      <c r="D176" s="15">
        <v>166.7</v>
      </c>
      <c r="G176" s="11"/>
    </row>
    <row r="177" spans="1:7" x14ac:dyDescent="0.25">
      <c r="A177" s="15" t="s">
        <v>33</v>
      </c>
      <c r="B177" s="15">
        <v>2022</v>
      </c>
      <c r="C177" s="15" t="s">
        <v>36</v>
      </c>
      <c r="D177" s="15">
        <v>165.5</v>
      </c>
      <c r="G177" s="11"/>
    </row>
    <row r="178" spans="1:7" x14ac:dyDescent="0.25">
      <c r="A178" s="15" t="s">
        <v>35</v>
      </c>
      <c r="B178" s="15">
        <v>2022</v>
      </c>
      <c r="C178" s="15" t="s">
        <v>36</v>
      </c>
      <c r="D178" s="15">
        <v>166.1</v>
      </c>
      <c r="G178" s="11"/>
    </row>
    <row r="179" spans="1:7" x14ac:dyDescent="0.25">
      <c r="A179" s="15" t="s">
        <v>30</v>
      </c>
      <c r="B179" s="15">
        <v>2022</v>
      </c>
      <c r="C179" s="15" t="s">
        <v>38</v>
      </c>
      <c r="D179" s="15">
        <v>168.7</v>
      </c>
      <c r="G179" s="11"/>
    </row>
    <row r="180" spans="1:7" x14ac:dyDescent="0.25">
      <c r="A180" s="15" t="s">
        <v>33</v>
      </c>
      <c r="B180" s="15">
        <v>2022</v>
      </c>
      <c r="C180" s="15" t="s">
        <v>38</v>
      </c>
      <c r="D180" s="15">
        <v>166.5</v>
      </c>
      <c r="G180" s="11"/>
    </row>
    <row r="181" spans="1:7" x14ac:dyDescent="0.25">
      <c r="A181" s="15" t="s">
        <v>35</v>
      </c>
      <c r="B181" s="15">
        <v>2022</v>
      </c>
      <c r="C181" s="15" t="s">
        <v>38</v>
      </c>
      <c r="D181" s="15">
        <v>167.7</v>
      </c>
      <c r="G181" s="11"/>
    </row>
    <row r="182" spans="1:7" x14ac:dyDescent="0.25">
      <c r="A182" s="15" t="s">
        <v>30</v>
      </c>
      <c r="B182" s="15">
        <v>2022</v>
      </c>
      <c r="C182" s="15" t="s">
        <v>39</v>
      </c>
      <c r="D182" s="15">
        <v>170.8</v>
      </c>
      <c r="G182" s="11"/>
    </row>
    <row r="183" spans="1:7" x14ac:dyDescent="0.25">
      <c r="A183" s="15" t="s">
        <v>33</v>
      </c>
      <c r="B183" s="15">
        <v>2022</v>
      </c>
      <c r="C183" s="15" t="s">
        <v>39</v>
      </c>
      <c r="D183" s="15">
        <v>169.2</v>
      </c>
      <c r="G183" s="11"/>
    </row>
    <row r="184" spans="1:7" x14ac:dyDescent="0.25">
      <c r="A184" s="15" t="s">
        <v>35</v>
      </c>
      <c r="B184" s="15">
        <v>2022</v>
      </c>
      <c r="C184" s="15" t="s">
        <v>39</v>
      </c>
      <c r="D184" s="15">
        <v>170.1</v>
      </c>
      <c r="G184" s="11"/>
    </row>
    <row r="185" spans="1:7" x14ac:dyDescent="0.25">
      <c r="A185" s="15" t="s">
        <v>30</v>
      </c>
      <c r="B185" s="15">
        <v>2022</v>
      </c>
      <c r="C185" s="15" t="s">
        <v>41</v>
      </c>
      <c r="D185" s="15">
        <v>172.5</v>
      </c>
      <c r="G185" s="11"/>
    </row>
    <row r="186" spans="1:7" x14ac:dyDescent="0.25">
      <c r="A186" s="15" t="s">
        <v>33</v>
      </c>
      <c r="B186" s="15">
        <v>2022</v>
      </c>
      <c r="C186" s="15" t="s">
        <v>41</v>
      </c>
      <c r="D186" s="15">
        <v>170.8</v>
      </c>
      <c r="G186" s="11"/>
    </row>
    <row r="187" spans="1:7" x14ac:dyDescent="0.25">
      <c r="A187" s="15" t="s">
        <v>35</v>
      </c>
      <c r="B187" s="15">
        <v>2022</v>
      </c>
      <c r="C187" s="15" t="s">
        <v>41</v>
      </c>
      <c r="D187" s="15">
        <v>171.7</v>
      </c>
      <c r="G187" s="11"/>
    </row>
    <row r="188" spans="1:7" x14ac:dyDescent="0.25">
      <c r="A188" s="15" t="s">
        <v>30</v>
      </c>
      <c r="B188" s="15">
        <v>2022</v>
      </c>
      <c r="C188" s="15" t="s">
        <v>42</v>
      </c>
      <c r="D188" s="15">
        <v>173.6</v>
      </c>
      <c r="G188" s="11"/>
    </row>
    <row r="189" spans="1:7" x14ac:dyDescent="0.25">
      <c r="A189" s="15" t="s">
        <v>33</v>
      </c>
      <c r="B189" s="15">
        <v>2022</v>
      </c>
      <c r="C189" s="15" t="s">
        <v>42</v>
      </c>
      <c r="D189" s="15">
        <v>171.4</v>
      </c>
      <c r="G189" s="11"/>
    </row>
    <row r="190" spans="1:7" x14ac:dyDescent="0.25">
      <c r="A190" s="15" t="s">
        <v>35</v>
      </c>
      <c r="B190" s="15">
        <v>2022</v>
      </c>
      <c r="C190" s="15" t="s">
        <v>42</v>
      </c>
      <c r="D190" s="15">
        <v>172.6</v>
      </c>
      <c r="G190" s="11"/>
    </row>
    <row r="191" spans="1:7" x14ac:dyDescent="0.25">
      <c r="A191" s="15" t="s">
        <v>30</v>
      </c>
      <c r="B191" s="15">
        <v>2022</v>
      </c>
      <c r="C191" s="15" t="s">
        <v>44</v>
      </c>
      <c r="D191" s="15">
        <v>174.3</v>
      </c>
      <c r="G191" s="11"/>
    </row>
    <row r="192" spans="1:7" x14ac:dyDescent="0.25">
      <c r="A192" s="15" t="s">
        <v>33</v>
      </c>
      <c r="B192" s="15">
        <v>2022</v>
      </c>
      <c r="C192" s="15" t="s">
        <v>44</v>
      </c>
      <c r="D192" s="15">
        <v>172.3</v>
      </c>
      <c r="G192" s="11"/>
    </row>
    <row r="193" spans="1:7" x14ac:dyDescent="0.25">
      <c r="A193" s="15" t="s">
        <v>35</v>
      </c>
      <c r="B193" s="15">
        <v>2022</v>
      </c>
      <c r="C193" s="15" t="s">
        <v>44</v>
      </c>
      <c r="D193" s="15">
        <v>173.4</v>
      </c>
      <c r="G193" s="11"/>
    </row>
    <row r="194" spans="1:7" x14ac:dyDescent="0.25">
      <c r="A194" s="15" t="s">
        <v>30</v>
      </c>
      <c r="B194" s="15">
        <v>2022</v>
      </c>
      <c r="C194" s="15" t="s">
        <v>46</v>
      </c>
      <c r="D194" s="15">
        <v>175.3</v>
      </c>
      <c r="G194" s="11"/>
    </row>
    <row r="195" spans="1:7" x14ac:dyDescent="0.25">
      <c r="A195" s="15" t="s">
        <v>33</v>
      </c>
      <c r="B195" s="15">
        <v>2022</v>
      </c>
      <c r="C195" s="15" t="s">
        <v>46</v>
      </c>
      <c r="D195" s="15">
        <v>173.1</v>
      </c>
      <c r="G195" s="11"/>
    </row>
    <row r="196" spans="1:7" x14ac:dyDescent="0.25">
      <c r="A196" s="15" t="s">
        <v>35</v>
      </c>
      <c r="B196" s="15">
        <v>2022</v>
      </c>
      <c r="C196" s="15" t="s">
        <v>46</v>
      </c>
      <c r="D196" s="15">
        <v>174.3</v>
      </c>
      <c r="G196" s="11"/>
    </row>
    <row r="197" spans="1:7" x14ac:dyDescent="0.25">
      <c r="A197" s="15" t="s">
        <v>30</v>
      </c>
      <c r="B197" s="15">
        <v>2022</v>
      </c>
      <c r="C197" s="15" t="s">
        <v>48</v>
      </c>
      <c r="D197" s="15">
        <v>176.4</v>
      </c>
      <c r="G197" s="11"/>
    </row>
    <row r="198" spans="1:7" x14ac:dyDescent="0.25">
      <c r="A198" s="15" t="s">
        <v>33</v>
      </c>
      <c r="B198" s="15">
        <v>2022</v>
      </c>
      <c r="C198" s="15" t="s">
        <v>48</v>
      </c>
      <c r="D198" s="15">
        <v>174.1</v>
      </c>
      <c r="G198" s="11"/>
    </row>
    <row r="199" spans="1:7" x14ac:dyDescent="0.25">
      <c r="A199" s="15" t="s">
        <v>35</v>
      </c>
      <c r="B199" s="15">
        <v>2022</v>
      </c>
      <c r="C199" s="15" t="s">
        <v>48</v>
      </c>
      <c r="D199" s="15">
        <v>175.3</v>
      </c>
      <c r="G199" s="11"/>
    </row>
    <row r="200" spans="1:7" x14ac:dyDescent="0.25">
      <c r="A200" s="15" t="s">
        <v>30</v>
      </c>
      <c r="B200" s="15">
        <v>2022</v>
      </c>
      <c r="C200" s="15" t="s">
        <v>50</v>
      </c>
      <c r="D200" s="15">
        <v>177.9</v>
      </c>
      <c r="G200" s="11"/>
    </row>
    <row r="201" spans="1:7" x14ac:dyDescent="0.25">
      <c r="A201" s="15" t="s">
        <v>33</v>
      </c>
      <c r="B201" s="15">
        <v>2022</v>
      </c>
      <c r="C201" s="15" t="s">
        <v>50</v>
      </c>
      <c r="D201" s="15">
        <v>175.3</v>
      </c>
      <c r="G201" s="11"/>
    </row>
    <row r="202" spans="1:7" x14ac:dyDescent="0.25">
      <c r="A202" s="15" t="s">
        <v>35</v>
      </c>
      <c r="B202" s="15">
        <v>2022</v>
      </c>
      <c r="C202" s="15" t="s">
        <v>50</v>
      </c>
      <c r="D202" s="15">
        <v>176.7</v>
      </c>
      <c r="G202" s="11"/>
    </row>
    <row r="203" spans="1:7" x14ac:dyDescent="0.25">
      <c r="A203" s="15" t="s">
        <v>30</v>
      </c>
      <c r="B203" s="15">
        <v>2022</v>
      </c>
      <c r="C203" s="15" t="s">
        <v>53</v>
      </c>
      <c r="D203" s="15">
        <v>177.8</v>
      </c>
      <c r="G203" s="11"/>
    </row>
    <row r="204" spans="1:7" x14ac:dyDescent="0.25">
      <c r="A204" s="15" t="s">
        <v>33</v>
      </c>
      <c r="B204" s="15">
        <v>2022</v>
      </c>
      <c r="C204" s="15" t="s">
        <v>53</v>
      </c>
      <c r="D204" s="15">
        <v>174.1</v>
      </c>
      <c r="G204" s="11"/>
    </row>
    <row r="205" spans="1:7" x14ac:dyDescent="0.25">
      <c r="A205" s="15" t="s">
        <v>35</v>
      </c>
      <c r="B205" s="15">
        <v>2022</v>
      </c>
      <c r="C205" s="15" t="s">
        <v>53</v>
      </c>
      <c r="D205" s="15">
        <v>176.5</v>
      </c>
      <c r="G205" s="11"/>
    </row>
    <row r="206" spans="1:7" x14ac:dyDescent="0.25">
      <c r="A206" s="15" t="s">
        <v>30</v>
      </c>
      <c r="B206" s="15">
        <v>2022</v>
      </c>
      <c r="C206" s="15" t="s">
        <v>55</v>
      </c>
      <c r="D206" s="15">
        <v>177.1</v>
      </c>
      <c r="G206" s="11"/>
    </row>
    <row r="207" spans="1:7" x14ac:dyDescent="0.25">
      <c r="A207" s="15" t="s">
        <v>33</v>
      </c>
      <c r="B207" s="15">
        <v>2022</v>
      </c>
      <c r="C207" s="15" t="s">
        <v>55</v>
      </c>
      <c r="D207" s="15">
        <v>174.1</v>
      </c>
      <c r="G207" s="11"/>
    </row>
    <row r="208" spans="1:7" x14ac:dyDescent="0.25">
      <c r="A208" s="15" t="s">
        <v>35</v>
      </c>
      <c r="B208" s="15">
        <v>2022</v>
      </c>
      <c r="C208" s="15" t="s">
        <v>55</v>
      </c>
      <c r="D208" s="15">
        <v>175.7</v>
      </c>
      <c r="G208" s="11"/>
    </row>
    <row r="209" spans="1:7" x14ac:dyDescent="0.25">
      <c r="A209" s="15" t="s">
        <v>30</v>
      </c>
      <c r="B209" s="15">
        <v>2023</v>
      </c>
      <c r="C209" s="15" t="s">
        <v>31</v>
      </c>
      <c r="D209" s="15">
        <v>177.8</v>
      </c>
      <c r="G209" s="11"/>
    </row>
    <row r="210" spans="1:7" x14ac:dyDescent="0.25">
      <c r="A210" s="15" t="s">
        <v>33</v>
      </c>
      <c r="B210" s="15">
        <v>2023</v>
      </c>
      <c r="C210" s="15" t="s">
        <v>31</v>
      </c>
      <c r="D210" s="15">
        <v>174.9</v>
      </c>
      <c r="G210" s="11"/>
    </row>
    <row r="211" spans="1:7" x14ac:dyDescent="0.25">
      <c r="A211" s="15" t="s">
        <v>35</v>
      </c>
      <c r="B211" s="15">
        <v>2023</v>
      </c>
      <c r="C211" s="15" t="s">
        <v>31</v>
      </c>
      <c r="D211" s="15">
        <v>176.5</v>
      </c>
      <c r="G211" s="11"/>
    </row>
    <row r="212" spans="1:7" x14ac:dyDescent="0.25">
      <c r="A212" s="15" t="s">
        <v>30</v>
      </c>
      <c r="B212" s="15">
        <v>2023</v>
      </c>
      <c r="C212" s="15" t="s">
        <v>36</v>
      </c>
      <c r="D212" s="15">
        <v>178</v>
      </c>
      <c r="G212" s="11"/>
    </row>
    <row r="213" spans="1:7" x14ac:dyDescent="0.25">
      <c r="A213" s="15" t="s">
        <v>33</v>
      </c>
      <c r="B213" s="15">
        <v>2023</v>
      </c>
      <c r="C213" s="15" t="s">
        <v>36</v>
      </c>
      <c r="D213" s="15">
        <v>176.3</v>
      </c>
      <c r="G213" s="11"/>
    </row>
    <row r="214" spans="1:7" x14ac:dyDescent="0.25">
      <c r="A214" s="15" t="s">
        <v>35</v>
      </c>
      <c r="B214" s="15">
        <v>2023</v>
      </c>
      <c r="C214" s="15" t="s">
        <v>36</v>
      </c>
      <c r="D214" s="15">
        <v>177.2</v>
      </c>
      <c r="G214" s="11"/>
    </row>
    <row r="215" spans="1:7" x14ac:dyDescent="0.25">
      <c r="A215" s="15" t="s">
        <v>30</v>
      </c>
      <c r="B215" s="15">
        <v>2023</v>
      </c>
      <c r="C215" s="15" t="s">
        <v>38</v>
      </c>
      <c r="D215" s="15">
        <v>178</v>
      </c>
      <c r="G215" s="11"/>
    </row>
    <row r="216" spans="1:7" x14ac:dyDescent="0.25">
      <c r="A216" s="15" t="s">
        <v>33</v>
      </c>
      <c r="B216" s="15">
        <v>2023</v>
      </c>
      <c r="C216" s="15" t="s">
        <v>38</v>
      </c>
      <c r="D216" s="15">
        <v>176.3</v>
      </c>
      <c r="G216" s="11"/>
    </row>
    <row r="217" spans="1:7" x14ac:dyDescent="0.25">
      <c r="A217" s="15" t="s">
        <v>35</v>
      </c>
      <c r="B217" s="15">
        <v>2023</v>
      </c>
      <c r="C217" s="15" t="s">
        <v>38</v>
      </c>
      <c r="D217" s="15">
        <v>177.2</v>
      </c>
      <c r="G217" s="11"/>
    </row>
    <row r="218" spans="1:7" x14ac:dyDescent="0.25">
      <c r="A218" s="15" t="s">
        <v>30</v>
      </c>
      <c r="B218" s="15">
        <v>2023</v>
      </c>
      <c r="C218" s="15" t="s">
        <v>39</v>
      </c>
      <c r="D218" s="15">
        <v>178.8</v>
      </c>
      <c r="G218" s="11"/>
    </row>
    <row r="219" spans="1:7" x14ac:dyDescent="0.25">
      <c r="A219" s="15" t="s">
        <v>33</v>
      </c>
      <c r="B219" s="15">
        <v>2023</v>
      </c>
      <c r="C219" s="15" t="s">
        <v>39</v>
      </c>
      <c r="D219" s="15">
        <v>177.4</v>
      </c>
      <c r="G219" s="11"/>
    </row>
    <row r="220" spans="1:7" x14ac:dyDescent="0.25">
      <c r="A220" s="15" t="s">
        <v>35</v>
      </c>
      <c r="B220" s="15">
        <v>2023</v>
      </c>
      <c r="C220" s="15" t="s">
        <v>39</v>
      </c>
      <c r="D220" s="15">
        <v>178.1</v>
      </c>
      <c r="G220" s="11"/>
    </row>
    <row r="221" spans="1:7" x14ac:dyDescent="0.25">
      <c r="A221" s="15" t="s">
        <v>30</v>
      </c>
      <c r="B221" s="15">
        <v>2023</v>
      </c>
      <c r="C221" s="15" t="s">
        <v>41</v>
      </c>
      <c r="D221" s="15">
        <v>179.8</v>
      </c>
      <c r="G221" s="11"/>
    </row>
    <row r="222" spans="1:7" x14ac:dyDescent="0.25">
      <c r="A222" s="15" t="s">
        <v>33</v>
      </c>
      <c r="B222" s="15">
        <v>2023</v>
      </c>
      <c r="C222" s="15" t="s">
        <v>41</v>
      </c>
      <c r="D222" s="15">
        <v>178.2</v>
      </c>
      <c r="G222" s="11"/>
    </row>
    <row r="223" spans="1:7" x14ac:dyDescent="0.25">
      <c r="A223" s="15" t="s">
        <v>35</v>
      </c>
      <c r="B223" s="15">
        <v>2023</v>
      </c>
      <c r="C223" s="15" t="s">
        <v>41</v>
      </c>
      <c r="D223" s="15">
        <v>179.1</v>
      </c>
      <c r="G223" s="11"/>
    </row>
  </sheetData>
  <autoFilter ref="A1:D223" xr:uid="{9420BFD4-EDA3-4974-9D64-D77441AD10AE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75001-5871-4247-92BD-FAAC3801EC55}">
  <dimension ref="A1:V414"/>
  <sheetViews>
    <sheetView topLeftCell="C1" zoomScale="130" zoomScaleNormal="130" workbookViewId="0">
      <pane ySplit="1" topLeftCell="A360" activePane="bottomLeft" state="frozen"/>
      <selection activeCell="H1" sqref="H1"/>
      <selection pane="bottomLeft" activeCell="U378" sqref="U378"/>
    </sheetView>
  </sheetViews>
  <sheetFormatPr defaultRowHeight="15" x14ac:dyDescent="0.25"/>
  <cols>
    <col min="1" max="1" width="33.42578125" bestFit="1" customWidth="1"/>
    <col min="2" max="2" width="7.5703125" bestFit="1" customWidth="1"/>
    <col min="3" max="3" width="10.42578125" bestFit="1" customWidth="1"/>
    <col min="4" max="4" width="22.28515625" bestFit="1" customWidth="1"/>
    <col min="5" max="5" width="18.85546875" bestFit="1" customWidth="1"/>
    <col min="6" max="6" width="6.5703125" bestFit="1" customWidth="1"/>
    <col min="7" max="7" width="19.28515625" bestFit="1" customWidth="1"/>
    <col min="8" max="8" width="13.7109375" customWidth="1"/>
    <col min="9" max="9" width="11.140625" customWidth="1"/>
    <col min="10" max="10" width="14" customWidth="1"/>
    <col min="11" max="11" width="17" customWidth="1"/>
    <col min="12" max="12" width="17.140625" customWidth="1"/>
    <col min="13" max="13" width="9.28515625" bestFit="1" customWidth="1"/>
    <col min="14" max="14" width="30.28515625" customWidth="1"/>
    <col min="15" max="15" width="17.85546875" customWidth="1"/>
    <col min="16" max="16" width="15" customWidth="1"/>
    <col min="17" max="17" width="14" customWidth="1"/>
    <col min="18" max="18" width="21" bestFit="1" customWidth="1"/>
    <col min="19" max="19" width="33.42578125" bestFit="1" customWidth="1"/>
    <col min="20" max="20" width="10.28515625" customWidth="1"/>
    <col min="21" max="21" width="11.42578125" customWidth="1"/>
    <col min="22" max="22" width="12.140625" customWidth="1"/>
  </cols>
  <sheetData>
    <row r="1" spans="1:18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177</v>
      </c>
      <c r="R1" s="28" t="s">
        <v>180</v>
      </c>
    </row>
    <row r="2" spans="1:18" x14ac:dyDescent="0.2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 s="2">
        <f>AVERAGE(All_India_Index_Upto_April23__134[[#This Row],[Cereals and products]:[Food and beverages]])</f>
        <v>105.5153846153846</v>
      </c>
      <c r="R2" s="2">
        <f>AVERAGE(All_India_Index_Upto_April23__134[[#This Row],[Cereals and products]:[Prepared meals, snacks, sweets etc.]])</f>
        <v>105.51666666666665</v>
      </c>
    </row>
    <row r="3" spans="1:18" x14ac:dyDescent="0.2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 s="2">
        <f>AVERAGE(All_India_Index_Upto_April23__134[[#This Row],[Cereals and products]:[Food and beverages]])</f>
        <v>105.87692307692308</v>
      </c>
      <c r="R3" s="2">
        <f>AVERAGE(All_India_Index_Upto_April23__134[[#This Row],[Cereals and products]:[Prepared meals, snacks, sweets etc.]])</f>
        <v>105.875</v>
      </c>
    </row>
    <row r="4" spans="1:18" x14ac:dyDescent="0.25">
      <c r="A4" t="s">
        <v>35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 s="2">
        <f>AVERAGE(All_India_Index_Upto_April23__134[[#This Row],[Cereals and products]:[Food and beverages]])</f>
        <v>105.63846153846156</v>
      </c>
      <c r="R4" s="2">
        <f>AVERAGE(All_India_Index_Upto_April23__134[[#This Row],[Cereals and products]:[Prepared meals, snacks, sweets etc.]])</f>
        <v>105.64166666666669</v>
      </c>
    </row>
    <row r="5" spans="1:18" x14ac:dyDescent="0.25">
      <c r="A5" t="s">
        <v>30</v>
      </c>
      <c r="B5">
        <v>2013</v>
      </c>
      <c r="C5" t="s">
        <v>36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 s="2">
        <f>AVERAGE(All_India_Index_Upto_April23__134[[#This Row],[Cereals and products]:[Food and beverages]])</f>
        <v>106.18461538461537</v>
      </c>
      <c r="R5" s="2">
        <f>AVERAGE(All_India_Index_Upto_April23__134[[#This Row],[Cereals and products]:[Prepared meals, snacks, sweets etc.]])</f>
        <v>106.175</v>
      </c>
    </row>
    <row r="6" spans="1:18" x14ac:dyDescent="0.25">
      <c r="A6" t="s">
        <v>33</v>
      </c>
      <c r="B6">
        <v>2013</v>
      </c>
      <c r="C6" t="s">
        <v>36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 s="2">
        <f>AVERAGE(All_India_Index_Upto_April23__134[[#This Row],[Cereals and products]:[Food and beverages]])</f>
        <v>106.96923076923078</v>
      </c>
      <c r="R6" s="2">
        <f>AVERAGE(All_India_Index_Upto_April23__134[[#This Row],[Cereals and products]:[Prepared meals, snacks, sweets etc.]])</f>
        <v>106.95</v>
      </c>
    </row>
    <row r="7" spans="1:18" x14ac:dyDescent="0.25">
      <c r="A7" t="s">
        <v>35</v>
      </c>
      <c r="B7">
        <v>2013</v>
      </c>
      <c r="C7" t="s">
        <v>36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 s="2">
        <f>AVERAGE(All_India_Index_Upto_April23__134[[#This Row],[Cereals and products]:[Food and beverages]])</f>
        <v>106.47692307692309</v>
      </c>
      <c r="R7" s="2">
        <f>AVERAGE(All_India_Index_Upto_April23__134[[#This Row],[Cereals and products]:[Prepared meals, snacks, sweets etc.]])</f>
        <v>106.46666666666668</v>
      </c>
    </row>
    <row r="8" spans="1:18" x14ac:dyDescent="0.25">
      <c r="A8" t="s">
        <v>30</v>
      </c>
      <c r="B8">
        <v>2013</v>
      </c>
      <c r="C8" t="s">
        <v>38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 s="2">
        <f>AVERAGE(All_India_Index_Upto_April23__134[[#This Row],[Cereals and products]:[Food and beverages]])</f>
        <v>106.32307692307693</v>
      </c>
      <c r="R8" s="2">
        <f>AVERAGE(All_India_Index_Upto_April23__134[[#This Row],[Cereals and products]:[Prepared meals, snacks, sweets etc.]])</f>
        <v>106.30000000000001</v>
      </c>
    </row>
    <row r="9" spans="1:18" x14ac:dyDescent="0.25">
      <c r="A9" t="s">
        <v>33</v>
      </c>
      <c r="B9">
        <v>2013</v>
      </c>
      <c r="C9" t="s">
        <v>38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 s="2">
        <f>AVERAGE(All_India_Index_Upto_April23__134[[#This Row],[Cereals and products]:[Food and beverages]])</f>
        <v>106.67692307692307</v>
      </c>
      <c r="R9" s="2">
        <f>AVERAGE(All_India_Index_Upto_April23__134[[#This Row],[Cereals and products]:[Prepared meals, snacks, sweets etc.]])</f>
        <v>106.625</v>
      </c>
    </row>
    <row r="10" spans="1:18" x14ac:dyDescent="0.25">
      <c r="A10" t="s">
        <v>35</v>
      </c>
      <c r="B10">
        <v>2013</v>
      </c>
      <c r="C10" t="s">
        <v>38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 s="2">
        <f>AVERAGE(All_India_Index_Upto_April23__134[[#This Row],[Cereals and products]:[Food and beverages]])</f>
        <v>106.46153846153848</v>
      </c>
      <c r="R10" s="2">
        <f>AVERAGE(All_India_Index_Upto_April23__134[[#This Row],[Cereals and products]:[Prepared meals, snacks, sweets etc.]])</f>
        <v>106.42500000000001</v>
      </c>
    </row>
    <row r="11" spans="1:18" x14ac:dyDescent="0.25">
      <c r="A11" t="s">
        <v>30</v>
      </c>
      <c r="B11">
        <v>2013</v>
      </c>
      <c r="C11" t="s">
        <v>39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 s="2">
        <f>AVERAGE(All_India_Index_Upto_April23__134[[#This Row],[Cereals and products]:[Food and beverages]])</f>
        <v>106.6</v>
      </c>
      <c r="R11" s="2">
        <f>AVERAGE(All_India_Index_Upto_April23__134[[#This Row],[Cereals and products]:[Prepared meals, snacks, sweets etc.]])</f>
        <v>106.55833333333334</v>
      </c>
    </row>
    <row r="12" spans="1:18" x14ac:dyDescent="0.25">
      <c r="A12" t="s">
        <v>33</v>
      </c>
      <c r="B12">
        <v>2013</v>
      </c>
      <c r="C12" t="s">
        <v>39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 s="2">
        <f>AVERAGE(All_India_Index_Upto_April23__134[[#This Row],[Cereals and products]:[Food and beverages]])</f>
        <v>107.5153846153846</v>
      </c>
      <c r="R12" s="2">
        <f>AVERAGE(All_India_Index_Upto_April23__134[[#This Row],[Cereals and products]:[Prepared meals, snacks, sweets etc.]])</f>
        <v>107.40833333333332</v>
      </c>
    </row>
    <row r="13" spans="1:18" x14ac:dyDescent="0.25">
      <c r="A13" t="s">
        <v>35</v>
      </c>
      <c r="B13">
        <v>2013</v>
      </c>
      <c r="C13" t="s">
        <v>39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 s="2">
        <f>AVERAGE(All_India_Index_Upto_April23__134[[#This Row],[Cereals and products]:[Food and beverages]])</f>
        <v>106.93846153846154</v>
      </c>
      <c r="R13" s="2">
        <f>AVERAGE(All_India_Index_Upto_April23__134[[#This Row],[Cereals and products]:[Prepared meals, snacks, sweets etc.]])</f>
        <v>106.875</v>
      </c>
    </row>
    <row r="14" spans="1:18" x14ac:dyDescent="0.25">
      <c r="A14" t="s">
        <v>30</v>
      </c>
      <c r="B14">
        <v>2013</v>
      </c>
      <c r="C14" t="s">
        <v>41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 s="2">
        <f>AVERAGE(All_India_Index_Upto_April23__134[[#This Row],[Cereals and products]:[Food and beverages]])</f>
        <v>107.23076923076923</v>
      </c>
      <c r="R14" s="2">
        <f>AVERAGE(All_India_Index_Upto_April23__134[[#This Row],[Cereals and products]:[Prepared meals, snacks, sweets etc.]])</f>
        <v>107.15833333333335</v>
      </c>
    </row>
    <row r="15" spans="1:18" x14ac:dyDescent="0.25">
      <c r="A15" t="s">
        <v>33</v>
      </c>
      <c r="B15">
        <v>2013</v>
      </c>
      <c r="C15" t="s">
        <v>41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 s="2">
        <f>AVERAGE(All_India_Index_Upto_April23__134[[#This Row],[Cereals and products]:[Food and beverages]])</f>
        <v>109.0153846153846</v>
      </c>
      <c r="R15" s="2">
        <f>AVERAGE(All_India_Index_Upto_April23__134[[#This Row],[Cereals and products]:[Prepared meals, snacks, sweets etc.]])</f>
        <v>108.84166666666665</v>
      </c>
    </row>
    <row r="16" spans="1:18" x14ac:dyDescent="0.25">
      <c r="A16" t="s">
        <v>35</v>
      </c>
      <c r="B16">
        <v>2013</v>
      </c>
      <c r="C16" t="s">
        <v>41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 s="2">
        <f>AVERAGE(All_India_Index_Upto_April23__134[[#This Row],[Cereals and products]:[Food and beverages]])</f>
        <v>107.86153846153844</v>
      </c>
      <c r="R16" s="2">
        <f>AVERAGE(All_India_Index_Upto_April23__134[[#This Row],[Cereals and products]:[Prepared meals, snacks, sweets etc.]])</f>
        <v>107.74999999999999</v>
      </c>
    </row>
    <row r="17" spans="1:18" x14ac:dyDescent="0.25">
      <c r="A17" t="s">
        <v>30</v>
      </c>
      <c r="B17">
        <v>2013</v>
      </c>
      <c r="C17" t="s">
        <v>42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 s="2">
        <f>AVERAGE(All_India_Index_Upto_April23__134[[#This Row],[Cereals and products]:[Food and beverages]])</f>
        <v>109.23076923076923</v>
      </c>
      <c r="R17" s="2">
        <f>AVERAGE(All_India_Index_Upto_April23__134[[#This Row],[Cereals and products]:[Prepared meals, snacks, sweets etc.]])</f>
        <v>109.11666666666667</v>
      </c>
    </row>
    <row r="18" spans="1:18" x14ac:dyDescent="0.25">
      <c r="A18" t="s">
        <v>33</v>
      </c>
      <c r="B18">
        <v>2013</v>
      </c>
      <c r="C18" t="s">
        <v>42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 s="2">
        <f>AVERAGE(All_India_Index_Upto_April23__134[[#This Row],[Cereals and products]:[Food and beverages]])</f>
        <v>112.66153846153847</v>
      </c>
      <c r="R18" s="2">
        <f>AVERAGE(All_India_Index_Upto_April23__134[[#This Row],[Cereals and products]:[Prepared meals, snacks, sweets etc.]])</f>
        <v>112.46666666666668</v>
      </c>
    </row>
    <row r="19" spans="1:18" x14ac:dyDescent="0.25">
      <c r="A19" t="s">
        <v>35</v>
      </c>
      <c r="B19">
        <v>2013</v>
      </c>
      <c r="C19" t="s">
        <v>42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 s="2">
        <f>AVERAGE(All_India_Index_Upto_April23__134[[#This Row],[Cereals and products]:[Food and beverages]])</f>
        <v>110.46153846153847</v>
      </c>
      <c r="R19" s="2">
        <f>AVERAGE(All_India_Index_Upto_April23__134[[#This Row],[Cereals and products]:[Prepared meals, snacks, sweets etc.]])</f>
        <v>110.31666666666666</v>
      </c>
    </row>
    <row r="20" spans="1:18" x14ac:dyDescent="0.25">
      <c r="A20" t="s">
        <v>30</v>
      </c>
      <c r="B20">
        <v>2013</v>
      </c>
      <c r="C20" t="s">
        <v>44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 s="2">
        <f>AVERAGE(All_India_Index_Upto_April23__134[[#This Row],[Cereals and products]:[Food and beverages]])</f>
        <v>111.22307692307689</v>
      </c>
      <c r="R20" s="2">
        <f>AVERAGE(All_India_Index_Upto_April23__134[[#This Row],[Cereals and products]:[Prepared meals, snacks, sweets etc.]])</f>
        <v>111.06666666666665</v>
      </c>
    </row>
    <row r="21" spans="1:18" x14ac:dyDescent="0.25">
      <c r="A21" t="s">
        <v>33</v>
      </c>
      <c r="B21">
        <v>2013</v>
      </c>
      <c r="C21" t="s">
        <v>44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 s="2">
        <f>AVERAGE(All_India_Index_Upto_April23__134[[#This Row],[Cereals and products]:[Food and beverages]])</f>
        <v>114.56923076923077</v>
      </c>
      <c r="R21" s="2">
        <f>AVERAGE(All_India_Index_Upto_April23__134[[#This Row],[Cereals and products]:[Prepared meals, snacks, sweets etc.]])</f>
        <v>114.325</v>
      </c>
    </row>
    <row r="22" spans="1:18" x14ac:dyDescent="0.25">
      <c r="A22" t="s">
        <v>35</v>
      </c>
      <c r="B22">
        <v>2013</v>
      </c>
      <c r="C22" t="s">
        <v>44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 s="2">
        <f>AVERAGE(All_India_Index_Upto_April23__134[[#This Row],[Cereals and products]:[Food and beverages]])</f>
        <v>112.41538461538461</v>
      </c>
      <c r="R22" s="2">
        <f>AVERAGE(All_India_Index_Upto_April23__134[[#This Row],[Cereals and products]:[Prepared meals, snacks, sweets etc.]])</f>
        <v>112.22499999999998</v>
      </c>
    </row>
    <row r="23" spans="1:18" x14ac:dyDescent="0.25">
      <c r="A23" t="s">
        <v>30</v>
      </c>
      <c r="B23">
        <v>2013</v>
      </c>
      <c r="C23" t="s">
        <v>46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 s="2">
        <f>AVERAGE(All_India_Index_Upto_April23__134[[#This Row],[Cereals and products]:[Food and beverages]])</f>
        <v>112.5</v>
      </c>
      <c r="R23" s="2">
        <f>AVERAGE(All_India_Index_Upto_April23__134[[#This Row],[Cereals and products]:[Prepared meals, snacks, sweets etc.]])</f>
        <v>112.3</v>
      </c>
    </row>
    <row r="24" spans="1:18" x14ac:dyDescent="0.25">
      <c r="A24" t="s">
        <v>33</v>
      </c>
      <c r="B24">
        <v>2013</v>
      </c>
      <c r="C24" t="s">
        <v>46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 s="2">
        <f>AVERAGE(All_India_Index_Upto_April23__134[[#This Row],[Cereals and products]:[Food and beverages]])</f>
        <v>115.85384615384616</v>
      </c>
      <c r="R24" s="2">
        <f>AVERAGE(All_India_Index_Upto_April23__134[[#This Row],[Cereals and products]:[Prepared meals, snacks, sweets etc.]])</f>
        <v>115.54166666666669</v>
      </c>
    </row>
    <row r="25" spans="1:18" x14ac:dyDescent="0.25">
      <c r="A25" t="s">
        <v>35</v>
      </c>
      <c r="B25">
        <v>2013</v>
      </c>
      <c r="C25" t="s">
        <v>46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 s="2">
        <f>AVERAGE(All_India_Index_Upto_April23__134[[#This Row],[Cereals and products]:[Food and beverages]])</f>
        <v>113.64615384615385</v>
      </c>
      <c r="R25" s="2">
        <f>AVERAGE(All_India_Index_Upto_April23__134[[#This Row],[Cereals and products]:[Prepared meals, snacks, sweets etc.]])</f>
        <v>113.40000000000002</v>
      </c>
    </row>
    <row r="26" spans="1:18" x14ac:dyDescent="0.25">
      <c r="A26" t="s">
        <v>30</v>
      </c>
      <c r="B26">
        <v>2013</v>
      </c>
      <c r="C26" t="s">
        <v>48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 s="2">
        <f>AVERAGE(All_India_Index_Upto_April23__134[[#This Row],[Cereals and products]:[Food and beverages]])</f>
        <v>114.50000000000001</v>
      </c>
      <c r="R26" s="2">
        <f>AVERAGE(All_India_Index_Upto_April23__134[[#This Row],[Cereals and products]:[Prepared meals, snacks, sweets etc.]])</f>
        <v>114.22500000000002</v>
      </c>
    </row>
    <row r="27" spans="1:18" x14ac:dyDescent="0.25">
      <c r="A27" t="s">
        <v>33</v>
      </c>
      <c r="B27">
        <v>2013</v>
      </c>
      <c r="C27" t="s">
        <v>48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 s="2">
        <f>AVERAGE(All_India_Index_Upto_April23__134[[#This Row],[Cereals and products]:[Food and beverages]])</f>
        <v>115.41538461538462</v>
      </c>
      <c r="R27" s="2">
        <f>AVERAGE(All_India_Index_Upto_April23__134[[#This Row],[Cereals and products]:[Prepared meals, snacks, sweets etc.]])</f>
        <v>115.10000000000001</v>
      </c>
    </row>
    <row r="28" spans="1:18" x14ac:dyDescent="0.25">
      <c r="A28" t="s">
        <v>35</v>
      </c>
      <c r="B28">
        <v>2013</v>
      </c>
      <c r="C28" t="s">
        <v>48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 s="2">
        <f>AVERAGE(All_India_Index_Upto_April23__134[[#This Row],[Cereals and products]:[Food and beverages]])</f>
        <v>114.74615384615383</v>
      </c>
      <c r="R28" s="2">
        <f>AVERAGE(All_India_Index_Upto_April23__134[[#This Row],[Cereals and products]:[Prepared meals, snacks, sweets etc.]])</f>
        <v>114.44999999999999</v>
      </c>
    </row>
    <row r="29" spans="1:18" x14ac:dyDescent="0.25">
      <c r="A29" t="s">
        <v>30</v>
      </c>
      <c r="B29">
        <v>2013</v>
      </c>
      <c r="C29" t="s">
        <v>50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 s="2">
        <f>AVERAGE(All_India_Index_Upto_April23__134[[#This Row],[Cereals and products]:[Food and beverages]])</f>
        <v>116</v>
      </c>
      <c r="R29" s="2">
        <f>AVERAGE(All_India_Index_Upto_April23__134[[#This Row],[Cereals and products]:[Prepared meals, snacks, sweets etc.]])</f>
        <v>115.68333333333334</v>
      </c>
    </row>
    <row r="30" spans="1:18" x14ac:dyDescent="0.25">
      <c r="A30" t="s">
        <v>33</v>
      </c>
      <c r="B30">
        <v>2013</v>
      </c>
      <c r="C30" t="s">
        <v>50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 s="2">
        <f>AVERAGE(All_India_Index_Upto_April23__134[[#This Row],[Cereals and products]:[Food and beverages]])</f>
        <v>116.7076923076923</v>
      </c>
      <c r="R30" s="2">
        <f>AVERAGE(All_India_Index_Upto_April23__134[[#This Row],[Cereals and products]:[Prepared meals, snacks, sweets etc.]])</f>
        <v>116.36666666666666</v>
      </c>
    </row>
    <row r="31" spans="1:18" x14ac:dyDescent="0.25">
      <c r="A31" t="s">
        <v>35</v>
      </c>
      <c r="B31">
        <v>2013</v>
      </c>
      <c r="C31" t="s">
        <v>50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 s="2">
        <f>AVERAGE(All_India_Index_Upto_April23__134[[#This Row],[Cereals and products]:[Food and beverages]])</f>
        <v>116.16923076923079</v>
      </c>
      <c r="R31" s="2">
        <f>AVERAGE(All_India_Index_Upto_April23__134[[#This Row],[Cereals and products]:[Prepared meals, snacks, sweets etc.]])</f>
        <v>115.83333333333336</v>
      </c>
    </row>
    <row r="32" spans="1:18" x14ac:dyDescent="0.25">
      <c r="A32" t="s">
        <v>30</v>
      </c>
      <c r="B32">
        <v>2013</v>
      </c>
      <c r="C32" t="s">
        <v>52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 s="2">
        <f>AVERAGE(All_India_Index_Upto_April23__134[[#This Row],[Cereals and products]:[Food and beverages]])</f>
        <v>118.21538461538461</v>
      </c>
      <c r="R32" s="2">
        <f>AVERAGE(All_India_Index_Upto_April23__134[[#This Row],[Cereals and products]:[Prepared meals, snacks, sweets etc.]])</f>
        <v>117.85833333333333</v>
      </c>
    </row>
    <row r="33" spans="1:18" x14ac:dyDescent="0.25">
      <c r="A33" t="s">
        <v>33</v>
      </c>
      <c r="B33">
        <v>2013</v>
      </c>
      <c r="C33" t="s">
        <v>53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 s="2">
        <f>AVERAGE(All_India_Index_Upto_April23__134[[#This Row],[Cereals and products]:[Food and beverages]])</f>
        <v>118.8153846153846</v>
      </c>
      <c r="R33" s="2">
        <f>AVERAGE(All_India_Index_Upto_April23__134[[#This Row],[Cereals and products]:[Prepared meals, snacks, sweets etc.]])</f>
        <v>118.47499999999998</v>
      </c>
    </row>
    <row r="34" spans="1:18" x14ac:dyDescent="0.25">
      <c r="A34" t="s">
        <v>35</v>
      </c>
      <c r="B34">
        <v>2013</v>
      </c>
      <c r="C34" t="s">
        <v>53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 s="2">
        <f>AVERAGE(All_India_Index_Upto_April23__134[[#This Row],[Cereals and products]:[Food and beverages]])</f>
        <v>118.36923076923077</v>
      </c>
      <c r="R34" s="2">
        <f>AVERAGE(All_India_Index_Upto_April23__134[[#This Row],[Cereals and products]:[Prepared meals, snacks, sweets etc.]])</f>
        <v>118.01666666666667</v>
      </c>
    </row>
    <row r="35" spans="1:18" x14ac:dyDescent="0.25">
      <c r="A35" t="s">
        <v>30</v>
      </c>
      <c r="B35">
        <v>2013</v>
      </c>
      <c r="C35" t="s">
        <v>55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 s="2">
        <f>AVERAGE(All_India_Index_Upto_April23__134[[#This Row],[Cereals and products]:[Food and beverages]])</f>
        <v>116.07692307692308</v>
      </c>
      <c r="R35" s="2">
        <f>AVERAGE(All_India_Index_Upto_April23__134[[#This Row],[Cereals and products]:[Prepared meals, snacks, sweets etc.]])</f>
        <v>115.85833333333333</v>
      </c>
    </row>
    <row r="36" spans="1:18" x14ac:dyDescent="0.25">
      <c r="A36" t="s">
        <v>33</v>
      </c>
      <c r="B36">
        <v>2013</v>
      </c>
      <c r="C36" t="s">
        <v>55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 s="2">
        <f>AVERAGE(All_India_Index_Upto_April23__134[[#This Row],[Cereals and products]:[Food and beverages]])</f>
        <v>115.72307692307693</v>
      </c>
      <c r="R36" s="2">
        <f>AVERAGE(All_India_Index_Upto_April23__134[[#This Row],[Cereals and products]:[Prepared meals, snacks, sweets etc.]])</f>
        <v>115.55000000000001</v>
      </c>
    </row>
    <row r="37" spans="1:18" x14ac:dyDescent="0.25">
      <c r="A37" t="s">
        <v>35</v>
      </c>
      <c r="B37">
        <v>2013</v>
      </c>
      <c r="C37" t="s">
        <v>55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 s="2">
        <f>AVERAGE(All_India_Index_Upto_April23__134[[#This Row],[Cereals and products]:[Food and beverages]])</f>
        <v>115.94615384615386</v>
      </c>
      <c r="R37" s="2">
        <f>AVERAGE(All_India_Index_Upto_April23__134[[#This Row],[Cereals and products]:[Prepared meals, snacks, sweets etc.]])</f>
        <v>115.74166666666667</v>
      </c>
    </row>
    <row r="38" spans="1:18" x14ac:dyDescent="0.2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 s="2">
        <f>AVERAGE(All_India_Index_Upto_April23__134[[#This Row],[Cereals and products]:[Food and beverages]])</f>
        <v>114.35384615384616</v>
      </c>
      <c r="R38" s="2">
        <f>AVERAGE(All_India_Index_Upto_April23__134[[#This Row],[Cereals and products]:[Prepared meals, snacks, sweets etc.]])</f>
        <v>114.21666666666668</v>
      </c>
    </row>
    <row r="39" spans="1:18" x14ac:dyDescent="0.2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 s="2">
        <f>AVERAGE(All_India_Index_Upto_April23__134[[#This Row],[Cereals and products]:[Food and beverages]])</f>
        <v>114.17692307692307</v>
      </c>
      <c r="R39" s="2">
        <f>AVERAGE(All_India_Index_Upto_April23__134[[#This Row],[Cereals and products]:[Prepared meals, snacks, sweets etc.]])</f>
        <v>114.06666666666666</v>
      </c>
    </row>
    <row r="40" spans="1:18" x14ac:dyDescent="0.25">
      <c r="A40" t="s">
        <v>35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 s="2">
        <f>AVERAGE(All_India_Index_Upto_April23__134[[#This Row],[Cereals and products]:[Food and beverages]])</f>
        <v>114.29230769230767</v>
      </c>
      <c r="R40" s="2">
        <f>AVERAGE(All_India_Index_Upto_April23__134[[#This Row],[Cereals and products]:[Prepared meals, snacks, sweets etc.]])</f>
        <v>114.16666666666664</v>
      </c>
    </row>
    <row r="41" spans="1:18" x14ac:dyDescent="0.25">
      <c r="A41" t="s">
        <v>30</v>
      </c>
      <c r="B41">
        <v>2014</v>
      </c>
      <c r="C41" t="s">
        <v>36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 s="2">
        <f>AVERAGE(All_India_Index_Upto_April23__134[[#This Row],[Cereals and products]:[Food and beverages]])</f>
        <v>114.01538461538462</v>
      </c>
      <c r="R41" s="2">
        <f>AVERAGE(All_India_Index_Upto_April23__134[[#This Row],[Cereals and products]:[Prepared meals, snacks, sweets etc.]])</f>
        <v>113.90833333333335</v>
      </c>
    </row>
    <row r="42" spans="1:18" x14ac:dyDescent="0.25">
      <c r="A42" t="s">
        <v>33</v>
      </c>
      <c r="B42">
        <v>2014</v>
      </c>
      <c r="C42" t="s">
        <v>36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 s="2">
        <f>AVERAGE(All_India_Index_Upto_April23__134[[#This Row],[Cereals and products]:[Food and beverages]])</f>
        <v>113.53846153846153</v>
      </c>
      <c r="R42" s="2">
        <f>AVERAGE(All_India_Index_Upto_April23__134[[#This Row],[Cereals and products]:[Prepared meals, snacks, sweets etc.]])</f>
        <v>113.39999999999999</v>
      </c>
    </row>
    <row r="43" spans="1:18" x14ac:dyDescent="0.25">
      <c r="A43" t="s">
        <v>35</v>
      </c>
      <c r="B43">
        <v>2014</v>
      </c>
      <c r="C43" t="s">
        <v>36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 s="2">
        <f>AVERAGE(All_India_Index_Upto_April23__134[[#This Row],[Cereals and products]:[Food and beverages]])</f>
        <v>113.85384615384615</v>
      </c>
      <c r="R43" s="2">
        <f>AVERAGE(All_India_Index_Upto_April23__134[[#This Row],[Cereals and products]:[Prepared meals, snacks, sweets etc.]])</f>
        <v>113.73333333333333</v>
      </c>
    </row>
    <row r="44" spans="1:18" x14ac:dyDescent="0.25">
      <c r="A44" t="s">
        <v>30</v>
      </c>
      <c r="B44">
        <v>2014</v>
      </c>
      <c r="C44" t="s">
        <v>38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 s="2">
        <f>AVERAGE(All_India_Index_Upto_April23__134[[#This Row],[Cereals and products]:[Food and beverages]])</f>
        <v>114.72307692307693</v>
      </c>
      <c r="R44" s="2">
        <f>AVERAGE(All_India_Index_Upto_April23__134[[#This Row],[Cereals and products]:[Prepared meals, snacks, sweets etc.]])</f>
        <v>114.60000000000001</v>
      </c>
    </row>
    <row r="45" spans="1:18" x14ac:dyDescent="0.25">
      <c r="A45" t="s">
        <v>33</v>
      </c>
      <c r="B45">
        <v>2014</v>
      </c>
      <c r="C45" t="s">
        <v>38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 s="2">
        <f>AVERAGE(All_India_Index_Upto_April23__134[[#This Row],[Cereals and products]:[Food and beverages]])</f>
        <v>114.07692307692308</v>
      </c>
      <c r="R45" s="2">
        <f>AVERAGE(All_India_Index_Upto_April23__134[[#This Row],[Cereals and products]:[Prepared meals, snacks, sweets etc.]])</f>
        <v>113.91666666666667</v>
      </c>
    </row>
    <row r="46" spans="1:18" x14ac:dyDescent="0.25">
      <c r="A46" t="s">
        <v>35</v>
      </c>
      <c r="B46">
        <v>2014</v>
      </c>
      <c r="C46" t="s">
        <v>60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 s="2">
        <f>AVERAGE(All_India_Index_Upto_April23__134[[#This Row],[Cereals and products]:[Food and beverages]])</f>
        <v>114.48461538461537</v>
      </c>
      <c r="R46" s="2">
        <f>AVERAGE(All_India_Index_Upto_April23__134[[#This Row],[Cereals and products]:[Prepared meals, snacks, sweets etc.]])</f>
        <v>114.34999999999998</v>
      </c>
    </row>
    <row r="47" spans="1:18" x14ac:dyDescent="0.25">
      <c r="A47" t="s">
        <v>30</v>
      </c>
      <c r="B47">
        <v>2014</v>
      </c>
      <c r="C47" t="s">
        <v>39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 s="2">
        <f>AVERAGE(All_India_Index_Upto_April23__134[[#This Row],[Cereals and products]:[Food and beverages]])</f>
        <v>115.70000000000002</v>
      </c>
      <c r="R47" s="2">
        <f>AVERAGE(All_India_Index_Upto_April23__134[[#This Row],[Cereals and products]:[Prepared meals, snacks, sweets etc.]])</f>
        <v>115.575</v>
      </c>
    </row>
    <row r="48" spans="1:18" x14ac:dyDescent="0.25">
      <c r="A48" t="s">
        <v>33</v>
      </c>
      <c r="B48">
        <v>2014</v>
      </c>
      <c r="C48" t="s">
        <v>39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 s="2">
        <f>AVERAGE(All_India_Index_Upto_April23__134[[#This Row],[Cereals and products]:[Food and beverages]])</f>
        <v>115.69230769230771</v>
      </c>
      <c r="R48" s="2">
        <f>AVERAGE(All_India_Index_Upto_April23__134[[#This Row],[Cereals and products]:[Prepared meals, snacks, sweets etc.]])</f>
        <v>115.48333333333335</v>
      </c>
    </row>
    <row r="49" spans="1:18" x14ac:dyDescent="0.25">
      <c r="A49" t="s">
        <v>35</v>
      </c>
      <c r="B49">
        <v>2014</v>
      </c>
      <c r="C49" t="s">
        <v>39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 s="2">
        <f>AVERAGE(All_India_Index_Upto_April23__134[[#This Row],[Cereals and products]:[Food and beverages]])</f>
        <v>115.69999999999999</v>
      </c>
      <c r="R49" s="2">
        <f>AVERAGE(All_India_Index_Upto_April23__134[[#This Row],[Cereals and products]:[Prepared meals, snacks, sweets etc.]])</f>
        <v>115.54166666666667</v>
      </c>
    </row>
    <row r="50" spans="1:18" x14ac:dyDescent="0.25">
      <c r="A50" t="s">
        <v>30</v>
      </c>
      <c r="B50">
        <v>2014</v>
      </c>
      <c r="C50" t="s">
        <v>41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 s="2">
        <f>AVERAGE(All_India_Index_Upto_April23__134[[#This Row],[Cereals and products]:[Food and beverages]])</f>
        <v>116.45384615384614</v>
      </c>
      <c r="R50" s="2">
        <f>AVERAGE(All_India_Index_Upto_April23__134[[#This Row],[Cereals and products]:[Prepared meals, snacks, sweets etc.]])</f>
        <v>116.30833333333332</v>
      </c>
    </row>
    <row r="51" spans="1:18" x14ac:dyDescent="0.25">
      <c r="A51" t="s">
        <v>33</v>
      </c>
      <c r="B51">
        <v>2014</v>
      </c>
      <c r="C51" t="s">
        <v>41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 s="2">
        <f>AVERAGE(All_India_Index_Upto_April23__134[[#This Row],[Cereals and products]:[Food and beverages]])</f>
        <v>117.33076923076925</v>
      </c>
      <c r="R51" s="2">
        <f>AVERAGE(All_India_Index_Upto_April23__134[[#This Row],[Cereals and products]:[Prepared meals, snacks, sweets etc.]])</f>
        <v>117.10833333333335</v>
      </c>
    </row>
    <row r="52" spans="1:18" x14ac:dyDescent="0.25">
      <c r="A52" t="s">
        <v>35</v>
      </c>
      <c r="B52">
        <v>2014</v>
      </c>
      <c r="C52" t="s">
        <v>41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 s="2">
        <f>AVERAGE(All_India_Index_Upto_April23__134[[#This Row],[Cereals and products]:[Food and beverages]])</f>
        <v>116.80769230769235</v>
      </c>
      <c r="R52" s="2">
        <f>AVERAGE(All_India_Index_Upto_April23__134[[#This Row],[Cereals and products]:[Prepared meals, snacks, sweets etc.]])</f>
        <v>116.63333333333337</v>
      </c>
    </row>
    <row r="53" spans="1:18" x14ac:dyDescent="0.25">
      <c r="A53" t="s">
        <v>30</v>
      </c>
      <c r="B53">
        <v>2014</v>
      </c>
      <c r="C53" t="s">
        <v>42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 s="2">
        <f>AVERAGE(All_India_Index_Upto_April23__134[[#This Row],[Cereals and products]:[Food and beverages]])</f>
        <v>117.36153846153844</v>
      </c>
      <c r="R53" s="2">
        <f>AVERAGE(All_India_Index_Upto_April23__134[[#This Row],[Cereals and products]:[Prepared meals, snacks, sweets etc.]])</f>
        <v>117.18333333333332</v>
      </c>
    </row>
    <row r="54" spans="1:18" x14ac:dyDescent="0.25">
      <c r="A54" t="s">
        <v>33</v>
      </c>
      <c r="B54">
        <v>2014</v>
      </c>
      <c r="C54" t="s">
        <v>42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 s="2">
        <f>AVERAGE(All_India_Index_Upto_April23__134[[#This Row],[Cereals and products]:[Food and beverages]])</f>
        <v>119</v>
      </c>
      <c r="R54" s="2">
        <f>AVERAGE(All_India_Index_Upto_April23__134[[#This Row],[Cereals and products]:[Prepared meals, snacks, sweets etc.]])</f>
        <v>118.75</v>
      </c>
    </row>
    <row r="55" spans="1:18" x14ac:dyDescent="0.25">
      <c r="A55" t="s">
        <v>35</v>
      </c>
      <c r="B55">
        <v>2014</v>
      </c>
      <c r="C55" t="s">
        <v>42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 s="2">
        <f>AVERAGE(All_India_Index_Upto_April23__134[[#This Row],[Cereals and products]:[Food and beverages]])</f>
        <v>117.9769230769231</v>
      </c>
      <c r="R55" s="2">
        <f>AVERAGE(All_India_Index_Upto_April23__134[[#This Row],[Cereals and products]:[Prepared meals, snacks, sweets etc.]])</f>
        <v>117.77500000000002</v>
      </c>
    </row>
    <row r="56" spans="1:18" x14ac:dyDescent="0.25">
      <c r="A56" t="s">
        <v>30</v>
      </c>
      <c r="B56">
        <v>2014</v>
      </c>
      <c r="C56" t="s">
        <v>44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 s="2">
        <f>AVERAGE(All_India_Index_Upto_April23__134[[#This Row],[Cereals and products]:[Food and beverages]])</f>
        <v>120.24615384615385</v>
      </c>
      <c r="R56" s="2">
        <f>AVERAGE(All_India_Index_Upto_April23__134[[#This Row],[Cereals and products]:[Prepared meals, snacks, sweets etc.]])</f>
        <v>119.99166666666667</v>
      </c>
    </row>
    <row r="57" spans="1:18" x14ac:dyDescent="0.25">
      <c r="A57" t="s">
        <v>33</v>
      </c>
      <c r="B57">
        <v>2014</v>
      </c>
      <c r="C57" t="s">
        <v>44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 s="2">
        <f>AVERAGE(All_India_Index_Upto_April23__134[[#This Row],[Cereals and products]:[Food and beverages]])</f>
        <v>123.03846153846153</v>
      </c>
      <c r="R57" s="2">
        <f>AVERAGE(All_India_Index_Upto_April23__134[[#This Row],[Cereals and products]:[Prepared meals, snacks, sweets etc.]])</f>
        <v>122.7</v>
      </c>
    </row>
    <row r="58" spans="1:18" x14ac:dyDescent="0.25">
      <c r="A58" t="s">
        <v>35</v>
      </c>
      <c r="B58">
        <v>2014</v>
      </c>
      <c r="C58" t="s">
        <v>44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 s="2">
        <f>AVERAGE(All_India_Index_Upto_April23__134[[#This Row],[Cereals and products]:[Food and beverages]])</f>
        <v>121.25384615384615</v>
      </c>
      <c r="R58" s="2">
        <f>AVERAGE(All_India_Index_Upto_April23__134[[#This Row],[Cereals and products]:[Prepared meals, snacks, sweets etc.]])</f>
        <v>120.96666666666665</v>
      </c>
    </row>
    <row r="59" spans="1:18" x14ac:dyDescent="0.25">
      <c r="A59" t="s">
        <v>30</v>
      </c>
      <c r="B59">
        <v>2014</v>
      </c>
      <c r="C59" t="s">
        <v>46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 s="2">
        <f>AVERAGE(All_India_Index_Upto_April23__134[[#This Row],[Cereals and products]:[Food and beverages]])</f>
        <v>121.71538461538459</v>
      </c>
      <c r="R59" s="2">
        <f>AVERAGE(All_India_Index_Upto_April23__134[[#This Row],[Cereals and products]:[Prepared meals, snacks, sweets etc.]])</f>
        <v>121.41666666666664</v>
      </c>
    </row>
    <row r="60" spans="1:18" x14ac:dyDescent="0.25">
      <c r="A60" t="s">
        <v>33</v>
      </c>
      <c r="B60">
        <v>2014</v>
      </c>
      <c r="C60" t="s">
        <v>46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 s="2">
        <f>AVERAGE(All_India_Index_Upto_April23__134[[#This Row],[Cereals and products]:[Food and beverages]])</f>
        <v>124.38461538461539</v>
      </c>
      <c r="R60" s="2">
        <f>AVERAGE(All_India_Index_Upto_April23__134[[#This Row],[Cereals and products]:[Prepared meals, snacks, sweets etc.]])</f>
        <v>124.00833333333333</v>
      </c>
    </row>
    <row r="61" spans="1:18" x14ac:dyDescent="0.25">
      <c r="A61" t="s">
        <v>35</v>
      </c>
      <c r="B61">
        <v>2014</v>
      </c>
      <c r="C61" t="s">
        <v>46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 s="2">
        <f>AVERAGE(All_India_Index_Upto_April23__134[[#This Row],[Cereals and products]:[Food and beverages]])</f>
        <v>122.65384615384613</v>
      </c>
      <c r="R61" s="2">
        <f>AVERAGE(All_India_Index_Upto_April23__134[[#This Row],[Cereals and products]:[Prepared meals, snacks, sweets etc.]])</f>
        <v>122.32499999999999</v>
      </c>
    </row>
    <row r="62" spans="1:18" x14ac:dyDescent="0.25">
      <c r="A62" t="s">
        <v>30</v>
      </c>
      <c r="B62">
        <v>2014</v>
      </c>
      <c r="C62" t="s">
        <v>48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 s="2">
        <f>AVERAGE(All_India_Index_Upto_April23__134[[#This Row],[Cereals and products]:[Food and beverages]])</f>
        <v>121.78461538461539</v>
      </c>
      <c r="R62" s="2">
        <f>AVERAGE(All_India_Index_Upto_April23__134[[#This Row],[Cereals and products]:[Prepared meals, snacks, sweets etc.]])</f>
        <v>121.49166666666667</v>
      </c>
    </row>
    <row r="63" spans="1:18" x14ac:dyDescent="0.25">
      <c r="A63" t="s">
        <v>33</v>
      </c>
      <c r="B63">
        <v>2014</v>
      </c>
      <c r="C63" t="s">
        <v>48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 s="2">
        <f>AVERAGE(All_India_Index_Upto_April23__134[[#This Row],[Cereals and products]:[Food and beverages]])</f>
        <v>122.59230769230771</v>
      </c>
      <c r="R63" s="2">
        <f>AVERAGE(All_India_Index_Upto_April23__134[[#This Row],[Cereals and products]:[Prepared meals, snacks, sweets etc.]])</f>
        <v>122.25000000000001</v>
      </c>
    </row>
    <row r="64" spans="1:18" x14ac:dyDescent="0.25">
      <c r="A64" t="s">
        <v>35</v>
      </c>
      <c r="B64">
        <v>2014</v>
      </c>
      <c r="C64" t="s">
        <v>48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 s="2">
        <f>AVERAGE(All_India_Index_Upto_April23__134[[#This Row],[Cereals and products]:[Food and beverages]])</f>
        <v>122.00769230769228</v>
      </c>
      <c r="R64" s="2">
        <f>AVERAGE(All_India_Index_Upto_April23__134[[#This Row],[Cereals and products]:[Prepared meals, snacks, sweets etc.]])</f>
        <v>121.69166666666665</v>
      </c>
    </row>
    <row r="65" spans="1:18" x14ac:dyDescent="0.25">
      <c r="A65" t="s">
        <v>30</v>
      </c>
      <c r="B65">
        <v>2014</v>
      </c>
      <c r="C65" t="s">
        <v>50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 s="2">
        <f>AVERAGE(All_India_Index_Upto_April23__134[[#This Row],[Cereals and products]:[Food and beverages]])</f>
        <v>121.63076923076922</v>
      </c>
      <c r="R65" s="2">
        <f>AVERAGE(All_India_Index_Upto_April23__134[[#This Row],[Cereals and products]:[Prepared meals, snacks, sweets etc.]])</f>
        <v>121.34166666666665</v>
      </c>
    </row>
    <row r="66" spans="1:18" x14ac:dyDescent="0.25">
      <c r="A66" t="s">
        <v>33</v>
      </c>
      <c r="B66">
        <v>2014</v>
      </c>
      <c r="C66" t="s">
        <v>50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 s="2">
        <f>AVERAGE(All_India_Index_Upto_April23__134[[#This Row],[Cereals and products]:[Food and beverages]])</f>
        <v>122.11538461538461</v>
      </c>
      <c r="R66" s="2">
        <f>AVERAGE(All_India_Index_Upto_April23__134[[#This Row],[Cereals and products]:[Prepared meals, snacks, sweets etc.]])</f>
        <v>121.80833333333334</v>
      </c>
    </row>
    <row r="67" spans="1:18" x14ac:dyDescent="0.25">
      <c r="A67" t="s">
        <v>35</v>
      </c>
      <c r="B67">
        <v>2014</v>
      </c>
      <c r="C67" t="s">
        <v>50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 s="2">
        <f>AVERAGE(All_India_Index_Upto_April23__134[[#This Row],[Cereals and products]:[Food and beverages]])</f>
        <v>121.74615384615385</v>
      </c>
      <c r="R67" s="2">
        <f>AVERAGE(All_India_Index_Upto_April23__134[[#This Row],[Cereals and products]:[Prepared meals, snacks, sweets etc.]])</f>
        <v>121.44166666666666</v>
      </c>
    </row>
    <row r="68" spans="1:18" x14ac:dyDescent="0.25">
      <c r="A68" t="s">
        <v>30</v>
      </c>
      <c r="B68">
        <v>2014</v>
      </c>
      <c r="C68" t="s">
        <v>53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 s="2">
        <f>AVERAGE(All_India_Index_Upto_April23__134[[#This Row],[Cereals and products]:[Food and beverages]])</f>
        <v>121.69230769230769</v>
      </c>
      <c r="R68" s="2">
        <f>AVERAGE(All_India_Index_Upto_April23__134[[#This Row],[Cereals and products]:[Prepared meals, snacks, sweets etc.]])</f>
        <v>121.425</v>
      </c>
    </row>
    <row r="69" spans="1:18" x14ac:dyDescent="0.25">
      <c r="A69" t="s">
        <v>33</v>
      </c>
      <c r="B69">
        <v>2014</v>
      </c>
      <c r="C69" t="s">
        <v>53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 s="2">
        <f>AVERAGE(All_India_Index_Upto_April23__134[[#This Row],[Cereals and products]:[Food and beverages]])</f>
        <v>122.13846153846154</v>
      </c>
      <c r="R69" s="2">
        <f>AVERAGE(All_India_Index_Upto_April23__134[[#This Row],[Cereals and products]:[Prepared meals, snacks, sweets etc.]])</f>
        <v>121.86666666666666</v>
      </c>
    </row>
    <row r="70" spans="1:18" x14ac:dyDescent="0.25">
      <c r="A70" t="s">
        <v>35</v>
      </c>
      <c r="B70">
        <v>2014</v>
      </c>
      <c r="C70" t="s">
        <v>53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 s="2">
        <f>AVERAGE(All_India_Index_Upto_April23__134[[#This Row],[Cereals and products]:[Food and beverages]])</f>
        <v>121.78461538461539</v>
      </c>
      <c r="R70" s="2">
        <f>AVERAGE(All_India_Index_Upto_April23__134[[#This Row],[Cereals and products]:[Prepared meals, snacks, sweets etc.]])</f>
        <v>121.50833333333334</v>
      </c>
    </row>
    <row r="71" spans="1:18" x14ac:dyDescent="0.25">
      <c r="A71" t="s">
        <v>30</v>
      </c>
      <c r="B71">
        <v>2014</v>
      </c>
      <c r="C71" t="s">
        <v>55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 s="2">
        <f>AVERAGE(All_India_Index_Upto_April23__134[[#This Row],[Cereals and products]:[Food and beverages]])</f>
        <v>120.73846153846154</v>
      </c>
      <c r="R71" s="2">
        <f>AVERAGE(All_India_Index_Upto_April23__134[[#This Row],[Cereals and products]:[Prepared meals, snacks, sweets etc.]])</f>
        <v>120.52499999999999</v>
      </c>
    </row>
    <row r="72" spans="1:18" x14ac:dyDescent="0.25">
      <c r="A72" t="s">
        <v>33</v>
      </c>
      <c r="B72">
        <v>2014</v>
      </c>
      <c r="C72" t="s">
        <v>55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 s="2">
        <f>AVERAGE(All_India_Index_Upto_April23__134[[#This Row],[Cereals and products]:[Food and beverages]])</f>
        <v>121.32307692307691</v>
      </c>
      <c r="R72" s="2">
        <f>AVERAGE(All_India_Index_Upto_April23__134[[#This Row],[Cereals and products]:[Prepared meals, snacks, sweets etc.]])</f>
        <v>121.09999999999998</v>
      </c>
    </row>
    <row r="73" spans="1:18" x14ac:dyDescent="0.25">
      <c r="A73" t="s">
        <v>35</v>
      </c>
      <c r="B73">
        <v>2014</v>
      </c>
      <c r="C73" t="s">
        <v>55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 s="2">
        <f>AVERAGE(All_India_Index_Upto_April23__134[[#This Row],[Cereals and products]:[Food and beverages]])</f>
        <v>120.89999999999999</v>
      </c>
      <c r="R73" s="2">
        <f>AVERAGE(All_India_Index_Upto_April23__134[[#This Row],[Cereals and products]:[Prepared meals, snacks, sweets etc.]])</f>
        <v>120.675</v>
      </c>
    </row>
    <row r="74" spans="1:18" x14ac:dyDescent="0.2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 s="2">
        <f>AVERAGE(All_India_Index_Upto_April23__134[[#This Row],[Cereals and products]:[Food and beverages]])</f>
        <v>120.62307692307692</v>
      </c>
      <c r="R74" s="2">
        <f>AVERAGE(All_India_Index_Upto_April23__134[[#This Row],[Cereals and products]:[Prepared meals, snacks, sweets etc.]])</f>
        <v>120.44166666666666</v>
      </c>
    </row>
    <row r="75" spans="1:18" x14ac:dyDescent="0.2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 s="2">
        <f>AVERAGE(All_India_Index_Upto_April23__134[[#This Row],[Cereals and products]:[Food and beverages]])</f>
        <v>121.14615384615384</v>
      </c>
      <c r="R75" s="2">
        <f>AVERAGE(All_India_Index_Upto_April23__134[[#This Row],[Cereals and products]:[Prepared meals, snacks, sweets etc.]])</f>
        <v>120.94999999999999</v>
      </c>
    </row>
    <row r="76" spans="1:18" x14ac:dyDescent="0.25">
      <c r="A76" t="s">
        <v>35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 s="2">
        <f>AVERAGE(All_India_Index_Upto_April23__134[[#This Row],[Cereals and products]:[Food and beverages]])</f>
        <v>120.71538461538461</v>
      </c>
      <c r="R76" s="2">
        <f>AVERAGE(All_India_Index_Upto_April23__134[[#This Row],[Cereals and products]:[Prepared meals, snacks, sweets etc.]])</f>
        <v>120.51666666666667</v>
      </c>
    </row>
    <row r="77" spans="1:18" x14ac:dyDescent="0.25">
      <c r="A77" t="s">
        <v>30</v>
      </c>
      <c r="B77">
        <v>2015</v>
      </c>
      <c r="C77" t="s">
        <v>36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 s="2">
        <f>AVERAGE(All_India_Index_Upto_April23__134[[#This Row],[Cereals and products]:[Food and beverages]])</f>
        <v>120.81538461538459</v>
      </c>
      <c r="R77" s="2">
        <f>AVERAGE(All_India_Index_Upto_April23__134[[#This Row],[Cereals and products]:[Prepared meals, snacks, sweets etc.]])</f>
        <v>120.64999999999998</v>
      </c>
    </row>
    <row r="78" spans="1:18" x14ac:dyDescent="0.25">
      <c r="A78" t="s">
        <v>33</v>
      </c>
      <c r="B78">
        <v>2015</v>
      </c>
      <c r="C78" t="s">
        <v>36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 s="2">
        <f>AVERAGE(All_India_Index_Upto_April23__134[[#This Row],[Cereals and products]:[Food and beverages]])</f>
        <v>120.85384615384616</v>
      </c>
      <c r="R78" s="2">
        <f>AVERAGE(All_India_Index_Upto_April23__134[[#This Row],[Cereals and products]:[Prepared meals, snacks, sweets etc.]])</f>
        <v>120.61666666666667</v>
      </c>
    </row>
    <row r="79" spans="1:18" x14ac:dyDescent="0.25">
      <c r="A79" t="s">
        <v>35</v>
      </c>
      <c r="B79">
        <v>2015</v>
      </c>
      <c r="C79" t="s">
        <v>36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 s="2">
        <f>AVERAGE(All_India_Index_Upto_April23__134[[#This Row],[Cereals and products]:[Food and beverages]])</f>
        <v>120.72307692307689</v>
      </c>
      <c r="R79" s="2">
        <f>AVERAGE(All_India_Index_Upto_April23__134[[#This Row],[Cereals and products]:[Prepared meals, snacks, sweets etc.]])</f>
        <v>120.52499999999998</v>
      </c>
    </row>
    <row r="80" spans="1:18" x14ac:dyDescent="0.25">
      <c r="A80" t="s">
        <v>30</v>
      </c>
      <c r="B80">
        <v>2015</v>
      </c>
      <c r="C80" t="s">
        <v>38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 s="2">
        <f>AVERAGE(All_India_Index_Upto_April23__134[[#This Row],[Cereals and products]:[Food and beverages]])</f>
        <v>120.88461538461539</v>
      </c>
      <c r="R80" s="2">
        <f>AVERAGE(All_India_Index_Upto_April23__134[[#This Row],[Cereals and products]:[Prepared meals, snacks, sweets etc.]])</f>
        <v>120.7</v>
      </c>
    </row>
    <row r="81" spans="1:18" x14ac:dyDescent="0.25">
      <c r="A81" t="s">
        <v>33</v>
      </c>
      <c r="B81">
        <v>2015</v>
      </c>
      <c r="C81" t="s">
        <v>38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 s="2">
        <f>AVERAGE(All_India_Index_Upto_April23__134[[#This Row],[Cereals and products]:[Food and beverages]])</f>
        <v>120.61538461538463</v>
      </c>
      <c r="R81" s="2">
        <f>AVERAGE(All_India_Index_Upto_April23__134[[#This Row],[Cereals and products]:[Prepared meals, snacks, sweets etc.]])</f>
        <v>120.34166666666668</v>
      </c>
    </row>
    <row r="82" spans="1:18" x14ac:dyDescent="0.25">
      <c r="A82" t="s">
        <v>35</v>
      </c>
      <c r="B82">
        <v>2015</v>
      </c>
      <c r="C82" t="s">
        <v>38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 s="2">
        <f>AVERAGE(All_India_Index_Upto_April23__134[[#This Row],[Cereals and products]:[Food and beverages]])</f>
        <v>120.69999999999999</v>
      </c>
      <c r="R82" s="2">
        <f>AVERAGE(All_India_Index_Upto_April23__134[[#This Row],[Cereals and products]:[Prepared meals, snacks, sweets etc.]])</f>
        <v>120.47499999999998</v>
      </c>
    </row>
    <row r="83" spans="1:18" x14ac:dyDescent="0.25">
      <c r="A83" t="s">
        <v>30</v>
      </c>
      <c r="B83">
        <v>2015</v>
      </c>
      <c r="C83" t="s">
        <v>39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 s="2">
        <f>AVERAGE(All_India_Index_Upto_April23__134[[#This Row],[Cereals and products]:[Food and beverages]])</f>
        <v>121.32307692307693</v>
      </c>
      <c r="R83" s="2">
        <f>AVERAGE(All_India_Index_Upto_April23__134[[#This Row],[Cereals and products]:[Prepared meals, snacks, sweets etc.]])</f>
        <v>121.13333333333334</v>
      </c>
    </row>
    <row r="84" spans="1:18" x14ac:dyDescent="0.25">
      <c r="A84" t="s">
        <v>33</v>
      </c>
      <c r="B84">
        <v>2015</v>
      </c>
      <c r="C84" t="s">
        <v>39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 s="2">
        <f>AVERAGE(All_India_Index_Upto_April23__134[[#This Row],[Cereals and products]:[Food and beverages]])</f>
        <v>121.23846153846154</v>
      </c>
      <c r="R84" s="2">
        <f>AVERAGE(All_India_Index_Upto_April23__134[[#This Row],[Cereals and products]:[Prepared meals, snacks, sweets etc.]])</f>
        <v>120.95833333333333</v>
      </c>
    </row>
    <row r="85" spans="1:18" x14ac:dyDescent="0.25">
      <c r="A85" t="s">
        <v>35</v>
      </c>
      <c r="B85">
        <v>2015</v>
      </c>
      <c r="C85" t="s">
        <v>39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 s="2">
        <f>AVERAGE(All_India_Index_Upto_April23__134[[#This Row],[Cereals and products]:[Food and beverages]])</f>
        <v>121.20769230769231</v>
      </c>
      <c r="R85" s="2">
        <f>AVERAGE(All_India_Index_Upto_April23__134[[#This Row],[Cereals and products]:[Prepared meals, snacks, sweets etc.]])</f>
        <v>120.97500000000001</v>
      </c>
    </row>
    <row r="86" spans="1:18" x14ac:dyDescent="0.25">
      <c r="A86" t="s">
        <v>30</v>
      </c>
      <c r="B86">
        <v>2015</v>
      </c>
      <c r="C86" t="s">
        <v>41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 s="2">
        <f>AVERAGE(All_India_Index_Upto_April23__134[[#This Row],[Cereals and products]:[Food and beverages]])</f>
        <v>122.13076923076923</v>
      </c>
      <c r="R86" s="2">
        <f>AVERAGE(All_India_Index_Upto_April23__134[[#This Row],[Cereals and products]:[Prepared meals, snacks, sweets etc.]])</f>
        <v>121.94166666666666</v>
      </c>
    </row>
    <row r="87" spans="1:18" x14ac:dyDescent="0.25">
      <c r="A87" t="s">
        <v>33</v>
      </c>
      <c r="B87">
        <v>2015</v>
      </c>
      <c r="C87" t="s">
        <v>41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 s="2">
        <f>AVERAGE(All_India_Index_Upto_April23__134[[#This Row],[Cereals and products]:[Food and beverages]])</f>
        <v>122.9923076923077</v>
      </c>
      <c r="R87" s="2">
        <f>AVERAGE(All_India_Index_Upto_April23__134[[#This Row],[Cereals and products]:[Prepared meals, snacks, sweets etc.]])</f>
        <v>122.73333333333335</v>
      </c>
    </row>
    <row r="88" spans="1:18" x14ac:dyDescent="0.25">
      <c r="A88" t="s">
        <v>35</v>
      </c>
      <c r="B88">
        <v>2015</v>
      </c>
      <c r="C88" t="s">
        <v>41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 s="2">
        <f>AVERAGE(All_India_Index_Upto_April23__134[[#This Row],[Cereals and products]:[Food and beverages]])</f>
        <v>122.33846153846154</v>
      </c>
      <c r="R88" s="2">
        <f>AVERAGE(All_India_Index_Upto_April23__134[[#This Row],[Cereals and products]:[Prepared meals, snacks, sweets etc.]])</f>
        <v>122.11666666666667</v>
      </c>
    </row>
    <row r="89" spans="1:18" x14ac:dyDescent="0.25">
      <c r="A89" t="s">
        <v>30</v>
      </c>
      <c r="B89">
        <v>2015</v>
      </c>
      <c r="C89" t="s">
        <v>42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 s="2">
        <f>AVERAGE(All_India_Index_Upto_April23__134[[#This Row],[Cereals and products]:[Food and beverages]])</f>
        <v>124.45384615384614</v>
      </c>
      <c r="R89" s="2">
        <f>AVERAGE(All_India_Index_Upto_April23__134[[#This Row],[Cereals and products]:[Prepared meals, snacks, sweets etc.]])</f>
        <v>124.27499999999999</v>
      </c>
    </row>
    <row r="90" spans="1:18" x14ac:dyDescent="0.25">
      <c r="A90" t="s">
        <v>33</v>
      </c>
      <c r="B90">
        <v>2015</v>
      </c>
      <c r="C90" t="s">
        <v>42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 s="2">
        <f>AVERAGE(All_India_Index_Upto_April23__134[[#This Row],[Cereals and products]:[Food and beverages]])</f>
        <v>125.89230769230768</v>
      </c>
      <c r="R90" s="2">
        <f>AVERAGE(All_India_Index_Upto_April23__134[[#This Row],[Cereals and products]:[Prepared meals, snacks, sweets etc.]])</f>
        <v>125.675</v>
      </c>
    </row>
    <row r="91" spans="1:18" x14ac:dyDescent="0.25">
      <c r="A91" t="s">
        <v>35</v>
      </c>
      <c r="B91">
        <v>2015</v>
      </c>
      <c r="C91" t="s">
        <v>42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 s="2">
        <f>AVERAGE(All_India_Index_Upto_April23__134[[#This Row],[Cereals and products]:[Food and beverages]])</f>
        <v>124.88461538461539</v>
      </c>
      <c r="R91" s="2">
        <f>AVERAGE(All_India_Index_Upto_April23__134[[#This Row],[Cereals and products]:[Prepared meals, snacks, sweets etc.]])</f>
        <v>124.68333333333334</v>
      </c>
    </row>
    <row r="92" spans="1:18" x14ac:dyDescent="0.25">
      <c r="A92" t="s">
        <v>30</v>
      </c>
      <c r="B92">
        <v>2015</v>
      </c>
      <c r="C92" t="s">
        <v>44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 s="2">
        <f>AVERAGE(All_India_Index_Upto_April23__134[[#This Row],[Cereals and products]:[Food and beverages]])</f>
        <v>125.02307692307691</v>
      </c>
      <c r="R92" s="2">
        <f>AVERAGE(All_India_Index_Upto_April23__134[[#This Row],[Cereals and products]:[Prepared meals, snacks, sweets etc.]])</f>
        <v>124.81666666666666</v>
      </c>
    </row>
    <row r="93" spans="1:18" x14ac:dyDescent="0.25">
      <c r="A93" t="s">
        <v>33</v>
      </c>
      <c r="B93">
        <v>2015</v>
      </c>
      <c r="C93" t="s">
        <v>44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 s="2">
        <f>AVERAGE(All_India_Index_Upto_April23__134[[#This Row],[Cereals and products]:[Food and beverages]])</f>
        <v>126.37692307692306</v>
      </c>
      <c r="R93" s="2">
        <f>AVERAGE(All_India_Index_Upto_April23__134[[#This Row],[Cereals and products]:[Prepared meals, snacks, sweets etc.]])</f>
        <v>126.11666666666666</v>
      </c>
    </row>
    <row r="94" spans="1:18" x14ac:dyDescent="0.25">
      <c r="A94" t="s">
        <v>35</v>
      </c>
      <c r="B94">
        <v>2015</v>
      </c>
      <c r="C94" t="s">
        <v>44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 s="2">
        <f>AVERAGE(All_India_Index_Upto_April23__134[[#This Row],[Cereals and products]:[Food and beverages]])</f>
        <v>125.43076923076924</v>
      </c>
      <c r="R94" s="2">
        <f>AVERAGE(All_India_Index_Upto_April23__134[[#This Row],[Cereals and products]:[Prepared meals, snacks, sweets etc.]])</f>
        <v>125.2</v>
      </c>
    </row>
    <row r="95" spans="1:18" x14ac:dyDescent="0.25">
      <c r="A95" t="s">
        <v>30</v>
      </c>
      <c r="B95">
        <v>2015</v>
      </c>
      <c r="C95" t="s">
        <v>46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 s="2">
        <f>AVERAGE(All_India_Index_Upto_April23__134[[#This Row],[Cereals and products]:[Food and beverages]])</f>
        <v>126.66153846153846</v>
      </c>
      <c r="R95" s="2">
        <f>AVERAGE(All_India_Index_Upto_April23__134[[#This Row],[Cereals and products]:[Prepared meals, snacks, sweets etc.]])</f>
        <v>126.39999999999999</v>
      </c>
    </row>
    <row r="96" spans="1:18" x14ac:dyDescent="0.25">
      <c r="A96" t="s">
        <v>33</v>
      </c>
      <c r="B96">
        <v>2015</v>
      </c>
      <c r="C96" t="s">
        <v>46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 s="2">
        <f>AVERAGE(All_India_Index_Upto_April23__134[[#This Row],[Cereals and products]:[Food and beverages]])</f>
        <v>127.6076923076923</v>
      </c>
      <c r="R96" s="2">
        <f>AVERAGE(All_India_Index_Upto_April23__134[[#This Row],[Cereals and products]:[Prepared meals, snacks, sweets etc.]])</f>
        <v>127.31666666666666</v>
      </c>
    </row>
    <row r="97" spans="1:18" x14ac:dyDescent="0.25">
      <c r="A97" t="s">
        <v>35</v>
      </c>
      <c r="B97">
        <v>2015</v>
      </c>
      <c r="C97" t="s">
        <v>46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 s="2">
        <f>AVERAGE(All_India_Index_Upto_April23__134[[#This Row],[Cereals and products]:[Food and beverages]])</f>
        <v>126.89230769230768</v>
      </c>
      <c r="R97" s="2">
        <f>AVERAGE(All_India_Index_Upto_April23__134[[#This Row],[Cereals and products]:[Prepared meals, snacks, sweets etc.]])</f>
        <v>126.60833333333333</v>
      </c>
    </row>
    <row r="98" spans="1:18" x14ac:dyDescent="0.25">
      <c r="A98" t="s">
        <v>30</v>
      </c>
      <c r="B98">
        <v>2015</v>
      </c>
      <c r="C98" t="s">
        <v>48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 s="2">
        <f>AVERAGE(All_India_Index_Upto_April23__134[[#This Row],[Cereals and products]:[Food and beverages]])</f>
        <v>127.50769230769232</v>
      </c>
      <c r="R98" s="2">
        <f>AVERAGE(All_India_Index_Upto_April23__134[[#This Row],[Cereals and products]:[Prepared meals, snacks, sweets etc.]])</f>
        <v>127.21666666666668</v>
      </c>
    </row>
    <row r="99" spans="1:18" x14ac:dyDescent="0.25">
      <c r="A99" t="s">
        <v>33</v>
      </c>
      <c r="B99">
        <v>2015</v>
      </c>
      <c r="C99" t="s">
        <v>48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 s="2">
        <f>AVERAGE(All_India_Index_Upto_April23__134[[#This Row],[Cereals and products]:[Food and beverages]])</f>
        <v>128.06153846153845</v>
      </c>
      <c r="R99" s="2">
        <f>AVERAGE(All_India_Index_Upto_April23__134[[#This Row],[Cereals and products]:[Prepared meals, snacks, sweets etc.]])</f>
        <v>127.77499999999999</v>
      </c>
    </row>
    <row r="100" spans="1:18" x14ac:dyDescent="0.25">
      <c r="A100" t="s">
        <v>35</v>
      </c>
      <c r="B100">
        <v>2015</v>
      </c>
      <c r="C100" t="s">
        <v>48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 s="2">
        <f>AVERAGE(All_India_Index_Upto_April23__134[[#This Row],[Cereals and products]:[Food and beverages]])</f>
        <v>127.56153846153848</v>
      </c>
      <c r="R100" s="2">
        <f>AVERAGE(All_India_Index_Upto_April23__134[[#This Row],[Cereals and products]:[Prepared meals, snacks, sweets etc.]])</f>
        <v>127.25833333333334</v>
      </c>
    </row>
    <row r="101" spans="1:18" x14ac:dyDescent="0.25">
      <c r="A101" t="s">
        <v>30</v>
      </c>
      <c r="B101">
        <v>2015</v>
      </c>
      <c r="C101" t="s">
        <v>50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 s="2">
        <f>AVERAGE(All_India_Index_Upto_April23__134[[#This Row],[Cereals and products]:[Food and beverages]])</f>
        <v>128.8153846153846</v>
      </c>
      <c r="R101" s="2">
        <f>AVERAGE(All_India_Index_Upto_April23__134[[#This Row],[Cereals and products]:[Prepared meals, snacks, sweets etc.]])</f>
        <v>128.56666666666666</v>
      </c>
    </row>
    <row r="102" spans="1:18" x14ac:dyDescent="0.25">
      <c r="A102" t="s">
        <v>33</v>
      </c>
      <c r="B102">
        <v>2015</v>
      </c>
      <c r="C102" t="s">
        <v>50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 s="2">
        <f>AVERAGE(All_India_Index_Upto_April23__134[[#This Row],[Cereals and products]:[Food and beverages]])</f>
        <v>130.21538461538464</v>
      </c>
      <c r="R102" s="2">
        <f>AVERAGE(All_India_Index_Upto_April23__134[[#This Row],[Cereals and products]:[Prepared meals, snacks, sweets etc.]])</f>
        <v>130.01666666666668</v>
      </c>
    </row>
    <row r="103" spans="1:18" x14ac:dyDescent="0.25">
      <c r="A103" t="s">
        <v>35</v>
      </c>
      <c r="B103">
        <v>2015</v>
      </c>
      <c r="C103" t="s">
        <v>50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 s="2">
        <f>AVERAGE(All_India_Index_Upto_April23__134[[#This Row],[Cereals and products]:[Food and beverages]])</f>
        <v>129.15384615384613</v>
      </c>
      <c r="R103" s="2">
        <f>AVERAGE(All_India_Index_Upto_April23__134[[#This Row],[Cereals and products]:[Prepared meals, snacks, sweets etc.]])</f>
        <v>128.90833333333333</v>
      </c>
    </row>
    <row r="104" spans="1:18" x14ac:dyDescent="0.25">
      <c r="A104" t="s">
        <v>30</v>
      </c>
      <c r="B104">
        <v>2015</v>
      </c>
      <c r="C104" t="s">
        <v>53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 s="2">
        <f>AVERAGE(All_India_Index_Upto_April23__134[[#This Row],[Cereals and products]:[Food and beverages]])</f>
        <v>129.71538461538461</v>
      </c>
      <c r="R104" s="2">
        <f>AVERAGE(All_India_Index_Upto_April23__134[[#This Row],[Cereals and products]:[Prepared meals, snacks, sweets etc.]])</f>
        <v>129.49166666666665</v>
      </c>
    </row>
    <row r="105" spans="1:18" x14ac:dyDescent="0.25">
      <c r="A105" t="s">
        <v>33</v>
      </c>
      <c r="B105">
        <v>2015</v>
      </c>
      <c r="C105" t="s">
        <v>53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 s="2">
        <f>AVERAGE(All_India_Index_Upto_April23__134[[#This Row],[Cereals and products]:[Food and beverages]])</f>
        <v>131.42307692307691</v>
      </c>
      <c r="R105" s="2">
        <f>AVERAGE(All_India_Index_Upto_April23__134[[#This Row],[Cereals and products]:[Prepared meals, snacks, sweets etc.]])</f>
        <v>131.26666666666665</v>
      </c>
    </row>
    <row r="106" spans="1:18" x14ac:dyDescent="0.25">
      <c r="A106" t="s">
        <v>35</v>
      </c>
      <c r="B106">
        <v>2015</v>
      </c>
      <c r="C106" t="s">
        <v>53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 s="2">
        <f>AVERAGE(All_India_Index_Upto_April23__134[[#This Row],[Cereals and products]:[Food and beverages]])</f>
        <v>130.16153846153844</v>
      </c>
      <c r="R106" s="2">
        <f>AVERAGE(All_India_Index_Upto_April23__134[[#This Row],[Cereals and products]:[Prepared meals, snacks, sweets etc.]])</f>
        <v>129.94999999999999</v>
      </c>
    </row>
    <row r="107" spans="1:18" x14ac:dyDescent="0.25">
      <c r="A107" t="s">
        <v>30</v>
      </c>
      <c r="B107">
        <v>2015</v>
      </c>
      <c r="C107" t="s">
        <v>55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 s="2">
        <f>AVERAGE(All_India_Index_Upto_April23__134[[#This Row],[Cereals and products]:[Food and beverages]])</f>
        <v>129.40769230769232</v>
      </c>
      <c r="R107" s="2">
        <f>AVERAGE(All_India_Index_Upto_April23__134[[#This Row],[Cereals and products]:[Prepared meals, snacks, sweets etc.]])</f>
        <v>129.24166666666667</v>
      </c>
    </row>
    <row r="108" spans="1:18" x14ac:dyDescent="0.25">
      <c r="A108" t="s">
        <v>33</v>
      </c>
      <c r="B108">
        <v>2015</v>
      </c>
      <c r="C108" t="s">
        <v>55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 s="2">
        <f>AVERAGE(All_India_Index_Upto_April23__134[[#This Row],[Cereals and products]:[Food and beverages]])</f>
        <v>130.67692307692306</v>
      </c>
      <c r="R108" s="2">
        <f>AVERAGE(All_India_Index_Upto_April23__134[[#This Row],[Cereals and products]:[Prepared meals, snacks, sweets etc.]])</f>
        <v>130.60833333333332</v>
      </c>
    </row>
    <row r="109" spans="1:18" x14ac:dyDescent="0.25">
      <c r="A109" t="s">
        <v>35</v>
      </c>
      <c r="B109">
        <v>2015</v>
      </c>
      <c r="C109" t="s">
        <v>55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 s="2">
        <f>AVERAGE(All_India_Index_Upto_April23__134[[#This Row],[Cereals and products]:[Food and beverages]])</f>
        <v>129.70000000000002</v>
      </c>
      <c r="R109" s="2">
        <f>AVERAGE(All_India_Index_Upto_April23__134[[#This Row],[Cereals and products]:[Prepared meals, snacks, sweets etc.]])</f>
        <v>129.55833333333334</v>
      </c>
    </row>
    <row r="110" spans="1:18" x14ac:dyDescent="0.2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 s="2">
        <f>AVERAGE(All_India_Index_Upto_April23__134[[#This Row],[Cereals and products]:[Food and beverages]])</f>
        <v>130.00769230769231</v>
      </c>
      <c r="R110" s="2">
        <f>AVERAGE(All_India_Index_Upto_April23__134[[#This Row],[Cereals and products]:[Prepared meals, snacks, sweets etc.]])</f>
        <v>129.89166666666668</v>
      </c>
    </row>
    <row r="111" spans="1:18" x14ac:dyDescent="0.2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 s="2">
        <f>AVERAGE(All_India_Index_Upto_April23__134[[#This Row],[Cereals and products]:[Food and beverages]])</f>
        <v>130.87692307692308</v>
      </c>
      <c r="R111" s="2">
        <f>AVERAGE(All_India_Index_Upto_April23__134[[#This Row],[Cereals and products]:[Prepared meals, snacks, sweets etc.]])</f>
        <v>130.85</v>
      </c>
    </row>
    <row r="112" spans="1:18" x14ac:dyDescent="0.25">
      <c r="A112" t="s">
        <v>35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 s="2">
        <f>AVERAGE(All_India_Index_Upto_April23__134[[#This Row],[Cereals and products]:[Food and beverages]])</f>
        <v>130.13076923076923</v>
      </c>
      <c r="R112" s="2">
        <f>AVERAGE(All_India_Index_Upto_April23__134[[#This Row],[Cereals and products]:[Prepared meals, snacks, sweets etc.]])</f>
        <v>130.03333333333333</v>
      </c>
    </row>
    <row r="113" spans="1:18" x14ac:dyDescent="0.25">
      <c r="A113" t="s">
        <v>30</v>
      </c>
      <c r="B113">
        <v>2016</v>
      </c>
      <c r="C113" t="s">
        <v>36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 s="2">
        <f>AVERAGE(All_India_Index_Upto_April23__134[[#This Row],[Cereals and products]:[Food and beverages]])</f>
        <v>129.43076923076922</v>
      </c>
      <c r="R113" s="2">
        <f>AVERAGE(All_India_Index_Upto_April23__134[[#This Row],[Cereals and products]:[Prepared meals, snacks, sweets etc.]])</f>
        <v>129.35833333333332</v>
      </c>
    </row>
    <row r="114" spans="1:18" x14ac:dyDescent="0.25">
      <c r="A114" t="s">
        <v>33</v>
      </c>
      <c r="B114">
        <v>2016</v>
      </c>
      <c r="C114" t="s">
        <v>36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 s="2">
        <f>AVERAGE(All_India_Index_Upto_April23__134[[#This Row],[Cereals and products]:[Food and beverages]])</f>
        <v>128.93076923076922</v>
      </c>
      <c r="R114" s="2">
        <f>AVERAGE(All_India_Index_Upto_April23__134[[#This Row],[Cereals and products]:[Prepared meals, snacks, sweets etc.]])</f>
        <v>128.91666666666666</v>
      </c>
    </row>
    <row r="115" spans="1:18" x14ac:dyDescent="0.25">
      <c r="A115" t="s">
        <v>35</v>
      </c>
      <c r="B115">
        <v>2016</v>
      </c>
      <c r="C115" t="s">
        <v>36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 s="2">
        <f>AVERAGE(All_India_Index_Upto_April23__134[[#This Row],[Cereals and products]:[Food and beverages]])</f>
        <v>129.08461538461538</v>
      </c>
      <c r="R115" s="2">
        <f>AVERAGE(All_India_Index_Upto_April23__134[[#This Row],[Cereals and products]:[Prepared meals, snacks, sweets etc.]])</f>
        <v>129.01666666666665</v>
      </c>
    </row>
    <row r="116" spans="1:18" x14ac:dyDescent="0.25">
      <c r="A116" t="s">
        <v>30</v>
      </c>
      <c r="B116">
        <v>2016</v>
      </c>
      <c r="C116" t="s">
        <v>38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 s="2">
        <f>AVERAGE(All_India_Index_Upto_April23__134[[#This Row],[Cereals and products]:[Food and beverages]])</f>
        <v>129.43846153846155</v>
      </c>
      <c r="R116" s="2">
        <f>AVERAGE(All_India_Index_Upto_April23__134[[#This Row],[Cereals and products]:[Prepared meals, snacks, sweets etc.]])</f>
        <v>129.35833333333335</v>
      </c>
    </row>
    <row r="117" spans="1:18" x14ac:dyDescent="0.25">
      <c r="A117" t="s">
        <v>33</v>
      </c>
      <c r="B117">
        <v>2016</v>
      </c>
      <c r="C117" t="s">
        <v>38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 s="2">
        <f>AVERAGE(All_India_Index_Upto_April23__134[[#This Row],[Cereals and products]:[Food and beverages]])</f>
        <v>128.27692307692308</v>
      </c>
      <c r="R117" s="2">
        <f>AVERAGE(All_India_Index_Upto_April23__134[[#This Row],[Cereals and products]:[Prepared meals, snacks, sweets etc.]])</f>
        <v>128.22499999999999</v>
      </c>
    </row>
    <row r="118" spans="1:18" x14ac:dyDescent="0.25">
      <c r="A118" t="s">
        <v>35</v>
      </c>
      <c r="B118">
        <v>2016</v>
      </c>
      <c r="C118" t="s">
        <v>38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 s="2">
        <f>AVERAGE(All_India_Index_Upto_April23__134[[#This Row],[Cereals and products]:[Food and beverages]])</f>
        <v>128.86153846153846</v>
      </c>
      <c r="R118" s="2">
        <f>AVERAGE(All_India_Index_Upto_April23__134[[#This Row],[Cereals and products]:[Prepared meals, snacks, sweets etc.]])</f>
        <v>128.78333333333333</v>
      </c>
    </row>
    <row r="119" spans="1:18" x14ac:dyDescent="0.25">
      <c r="A119" t="s">
        <v>30</v>
      </c>
      <c r="B119">
        <v>2016</v>
      </c>
      <c r="C119" t="s">
        <v>39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 s="2">
        <f>AVERAGE(All_India_Index_Upto_April23__134[[#This Row],[Cereals and products]:[Food and beverages]])</f>
        <v>130.89230769230772</v>
      </c>
      <c r="R119" s="2">
        <f>AVERAGE(All_India_Index_Upto_April23__134[[#This Row],[Cereals and products]:[Prepared meals, snacks, sweets etc.]])</f>
        <v>130.81666666666669</v>
      </c>
    </row>
    <row r="120" spans="1:18" x14ac:dyDescent="0.25">
      <c r="A120" t="s">
        <v>33</v>
      </c>
      <c r="B120">
        <v>2016</v>
      </c>
      <c r="C120" t="s">
        <v>39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 s="2">
        <f>AVERAGE(All_India_Index_Upto_April23__134[[#This Row],[Cereals and products]:[Food and beverages]])</f>
        <v>131.25384615384615</v>
      </c>
      <c r="R120" s="2">
        <f>AVERAGE(All_India_Index_Upto_April23__134[[#This Row],[Cereals and products]:[Prepared meals, snacks, sweets etc.]])</f>
        <v>131.20833333333334</v>
      </c>
    </row>
    <row r="121" spans="1:18" x14ac:dyDescent="0.25">
      <c r="A121" t="s">
        <v>35</v>
      </c>
      <c r="B121">
        <v>2016</v>
      </c>
      <c r="C121" t="s">
        <v>39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 s="2">
        <f>AVERAGE(All_India_Index_Upto_April23__134[[#This Row],[Cereals and products]:[Food and beverages]])</f>
        <v>130.86923076923077</v>
      </c>
      <c r="R121" s="2">
        <f>AVERAGE(All_India_Index_Upto_April23__134[[#This Row],[Cereals and products]:[Prepared meals, snacks, sweets etc.]])</f>
        <v>130.79166666666666</v>
      </c>
    </row>
    <row r="122" spans="1:18" x14ac:dyDescent="0.25">
      <c r="A122" t="s">
        <v>30</v>
      </c>
      <c r="B122">
        <v>2016</v>
      </c>
      <c r="C122" t="s">
        <v>41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 s="2">
        <f>AVERAGE(All_India_Index_Upto_April23__134[[#This Row],[Cereals and products]:[Food and beverages]])</f>
        <v>132.59230769230768</v>
      </c>
      <c r="R122" s="2">
        <f>AVERAGE(All_India_Index_Upto_April23__134[[#This Row],[Cereals and products]:[Prepared meals, snacks, sweets etc.]])</f>
        <v>132.50833333333333</v>
      </c>
    </row>
    <row r="123" spans="1:18" x14ac:dyDescent="0.25">
      <c r="A123" t="s">
        <v>33</v>
      </c>
      <c r="B123">
        <v>2016</v>
      </c>
      <c r="C123" t="s">
        <v>41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 s="2">
        <f>AVERAGE(All_India_Index_Upto_April23__134[[#This Row],[Cereals and products]:[Food and beverages]])</f>
        <v>134.36923076923074</v>
      </c>
      <c r="R123" s="2">
        <f>AVERAGE(All_India_Index_Upto_April23__134[[#This Row],[Cereals and products]:[Prepared meals, snacks, sweets etc.]])</f>
        <v>134.35</v>
      </c>
    </row>
    <row r="124" spans="1:18" x14ac:dyDescent="0.25">
      <c r="A124" t="s">
        <v>35</v>
      </c>
      <c r="B124">
        <v>2016</v>
      </c>
      <c r="C124" t="s">
        <v>41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 s="2">
        <f>AVERAGE(All_India_Index_Upto_April23__134[[#This Row],[Cereals and products]:[Food and beverages]])</f>
        <v>133.1076923076923</v>
      </c>
      <c r="R124" s="2">
        <f>AVERAGE(All_India_Index_Upto_April23__134[[#This Row],[Cereals and products]:[Prepared meals, snacks, sweets etc.]])</f>
        <v>133.03333333333333</v>
      </c>
    </row>
    <row r="125" spans="1:18" x14ac:dyDescent="0.25">
      <c r="A125" t="s">
        <v>30</v>
      </c>
      <c r="B125">
        <v>2016</v>
      </c>
      <c r="C125" t="s">
        <v>42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 s="2">
        <f>AVERAGE(All_India_Index_Upto_April23__134[[#This Row],[Cereals and products]:[Food and beverages]])</f>
        <v>134.50769230769231</v>
      </c>
      <c r="R125" s="2">
        <f>AVERAGE(All_India_Index_Upto_April23__134[[#This Row],[Cereals and products]:[Prepared meals, snacks, sweets etc.]])</f>
        <v>134.38333333333333</v>
      </c>
    </row>
    <row r="126" spans="1:18" x14ac:dyDescent="0.25">
      <c r="A126" t="s">
        <v>33</v>
      </c>
      <c r="B126">
        <v>2016</v>
      </c>
      <c r="C126" t="s">
        <v>42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 s="2">
        <f>AVERAGE(All_India_Index_Upto_April23__134[[#This Row],[Cereals and products]:[Food and beverages]])</f>
        <v>137.46153846153848</v>
      </c>
      <c r="R126" s="2">
        <f>AVERAGE(All_India_Index_Upto_April23__134[[#This Row],[Cereals and products]:[Prepared meals, snacks, sweets etc.]])</f>
        <v>137.4</v>
      </c>
    </row>
    <row r="127" spans="1:18" x14ac:dyDescent="0.25">
      <c r="A127" t="s">
        <v>35</v>
      </c>
      <c r="B127">
        <v>2016</v>
      </c>
      <c r="C127" t="s">
        <v>42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 s="2">
        <f>AVERAGE(All_India_Index_Upto_April23__134[[#This Row],[Cereals and products]:[Food and beverages]])</f>
        <v>135.43076923076922</v>
      </c>
      <c r="R127" s="2">
        <f>AVERAGE(All_India_Index_Upto_April23__134[[#This Row],[Cereals and products]:[Prepared meals, snacks, sweets etc.]])</f>
        <v>135.31666666666666</v>
      </c>
    </row>
    <row r="128" spans="1:18" x14ac:dyDescent="0.25">
      <c r="A128" t="s">
        <v>30</v>
      </c>
      <c r="B128">
        <v>2016</v>
      </c>
      <c r="C128" t="s">
        <v>44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 s="2">
        <f>AVERAGE(All_India_Index_Upto_April23__134[[#This Row],[Cereals and products]:[Food and beverages]])</f>
        <v>136.17692307692306</v>
      </c>
      <c r="R128" s="2">
        <f>AVERAGE(All_India_Index_Upto_April23__134[[#This Row],[Cereals and products]:[Prepared meals, snacks, sweets etc.]])</f>
        <v>136.05833333333331</v>
      </c>
    </row>
    <row r="129" spans="1:18" x14ac:dyDescent="0.25">
      <c r="A129" t="s">
        <v>33</v>
      </c>
      <c r="B129">
        <v>2016</v>
      </c>
      <c r="C129" t="s">
        <v>44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 s="2">
        <f>AVERAGE(All_India_Index_Upto_April23__134[[#This Row],[Cereals and products]:[Food and beverages]])</f>
        <v>139.34615384615387</v>
      </c>
      <c r="R129" s="2">
        <f>AVERAGE(All_India_Index_Upto_April23__134[[#This Row],[Cereals and products]:[Prepared meals, snacks, sweets etc.]])</f>
        <v>139.30833333333337</v>
      </c>
    </row>
    <row r="130" spans="1:18" x14ac:dyDescent="0.25">
      <c r="A130" t="s">
        <v>35</v>
      </c>
      <c r="B130">
        <v>2016</v>
      </c>
      <c r="C130" t="s">
        <v>44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 s="2">
        <f>AVERAGE(All_India_Index_Upto_April23__134[[#This Row],[Cereals and products]:[Food and beverages]])</f>
        <v>137.19230769230768</v>
      </c>
      <c r="R130" s="2">
        <f>AVERAGE(All_India_Index_Upto_April23__134[[#This Row],[Cereals and products]:[Prepared meals, snacks, sweets etc.]])</f>
        <v>137.09166666666667</v>
      </c>
    </row>
    <row r="131" spans="1:18" x14ac:dyDescent="0.25">
      <c r="A131" t="s">
        <v>30</v>
      </c>
      <c r="B131">
        <v>2016</v>
      </c>
      <c r="C131" t="s">
        <v>46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 s="2">
        <f>AVERAGE(All_India_Index_Upto_April23__134[[#This Row],[Cereals and products]:[Food and beverages]])</f>
        <v>136.73076923076923</v>
      </c>
      <c r="R131" s="2">
        <f>AVERAGE(All_India_Index_Upto_April23__134[[#This Row],[Cereals and products]:[Prepared meals, snacks, sweets etc.]])</f>
        <v>136.62499999999997</v>
      </c>
    </row>
    <row r="132" spans="1:18" x14ac:dyDescent="0.25">
      <c r="A132" t="s">
        <v>33</v>
      </c>
      <c r="B132">
        <v>2016</v>
      </c>
      <c r="C132" t="s">
        <v>46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 s="2">
        <f>AVERAGE(All_India_Index_Upto_April23__134[[#This Row],[Cereals and products]:[Food and beverages]])</f>
        <v>137.2307692307692</v>
      </c>
      <c r="R132" s="2">
        <f>AVERAGE(All_India_Index_Upto_April23__134[[#This Row],[Cereals and products]:[Prepared meals, snacks, sweets etc.]])</f>
        <v>137.19999999999996</v>
      </c>
    </row>
    <row r="133" spans="1:18" x14ac:dyDescent="0.25">
      <c r="A133" t="s">
        <v>35</v>
      </c>
      <c r="B133">
        <v>2016</v>
      </c>
      <c r="C133" t="s">
        <v>46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 s="2">
        <f>AVERAGE(All_India_Index_Upto_April23__134[[#This Row],[Cereals and products]:[Food and beverages]])</f>
        <v>136.76153846153846</v>
      </c>
      <c r="R133" s="2">
        <f>AVERAGE(All_India_Index_Upto_April23__134[[#This Row],[Cereals and products]:[Prepared meals, snacks, sweets etc.]])</f>
        <v>136.66666666666666</v>
      </c>
    </row>
    <row r="134" spans="1:18" x14ac:dyDescent="0.25">
      <c r="A134" t="s">
        <v>30</v>
      </c>
      <c r="B134">
        <v>2016</v>
      </c>
      <c r="C134" t="s">
        <v>48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 s="2">
        <f>AVERAGE(All_India_Index_Upto_April23__134[[#This Row],[Cereals and products]:[Food and beverages]])</f>
        <v>136.2076923076923</v>
      </c>
      <c r="R134" s="2">
        <f>AVERAGE(All_India_Index_Upto_April23__134[[#This Row],[Cereals and products]:[Prepared meals, snacks, sweets etc.]])</f>
        <v>136.125</v>
      </c>
    </row>
    <row r="135" spans="1:18" x14ac:dyDescent="0.25">
      <c r="A135" t="s">
        <v>33</v>
      </c>
      <c r="B135">
        <v>2016</v>
      </c>
      <c r="C135" t="s">
        <v>48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 s="2">
        <f>AVERAGE(All_India_Index_Upto_April23__134[[#This Row],[Cereals and products]:[Food and beverages]])</f>
        <v>135.10769230769228</v>
      </c>
      <c r="R135" s="2">
        <f>AVERAGE(All_India_Index_Upto_April23__134[[#This Row],[Cereals and products]:[Prepared meals, snacks, sweets etc.]])</f>
        <v>135.05833333333331</v>
      </c>
    </row>
    <row r="136" spans="1:18" x14ac:dyDescent="0.25">
      <c r="A136" t="s">
        <v>35</v>
      </c>
      <c r="B136">
        <v>2016</v>
      </c>
      <c r="C136" t="s">
        <v>48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 s="2">
        <f>AVERAGE(All_India_Index_Upto_April23__134[[#This Row],[Cereals and products]:[Food and beverages]])</f>
        <v>135.66923076923075</v>
      </c>
      <c r="R136" s="2">
        <f>AVERAGE(All_India_Index_Upto_April23__134[[#This Row],[Cereals and products]:[Prepared meals, snacks, sweets etc.]])</f>
        <v>135.59166666666667</v>
      </c>
    </row>
    <row r="137" spans="1:18" x14ac:dyDescent="0.25">
      <c r="A137" t="s">
        <v>30</v>
      </c>
      <c r="B137">
        <v>2016</v>
      </c>
      <c r="C137" t="s">
        <v>50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 s="2">
        <f>AVERAGE(All_India_Index_Upto_April23__134[[#This Row],[Cereals and products]:[Food and beverages]])</f>
        <v>136.2923076923077</v>
      </c>
      <c r="R137" s="2">
        <f>AVERAGE(All_India_Index_Upto_April23__134[[#This Row],[Cereals and products]:[Prepared meals, snacks, sweets etc.]])</f>
        <v>136.20000000000002</v>
      </c>
    </row>
    <row r="138" spans="1:18" x14ac:dyDescent="0.25">
      <c r="A138" t="s">
        <v>33</v>
      </c>
      <c r="B138">
        <v>2016</v>
      </c>
      <c r="C138" t="s">
        <v>50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 s="2">
        <f>AVERAGE(All_India_Index_Upto_April23__134[[#This Row],[Cereals and products]:[Food and beverages]])</f>
        <v>135.6076923076923</v>
      </c>
      <c r="R138" s="2">
        <f>AVERAGE(All_India_Index_Upto_April23__134[[#This Row],[Cereals and products]:[Prepared meals, snacks, sweets etc.]])</f>
        <v>135.54999999999998</v>
      </c>
    </row>
    <row r="139" spans="1:18" x14ac:dyDescent="0.25">
      <c r="A139" t="s">
        <v>35</v>
      </c>
      <c r="B139">
        <v>2016</v>
      </c>
      <c r="C139" t="s">
        <v>50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 s="2">
        <f>AVERAGE(All_India_Index_Upto_April23__134[[#This Row],[Cereals and products]:[Food and beverages]])</f>
        <v>135.90769230769226</v>
      </c>
      <c r="R139" s="2">
        <f>AVERAGE(All_India_Index_Upto_April23__134[[#This Row],[Cereals and products]:[Prepared meals, snacks, sweets etc.]])</f>
        <v>135.81666666666663</v>
      </c>
    </row>
    <row r="140" spans="1:18" x14ac:dyDescent="0.25">
      <c r="A140" t="s">
        <v>30</v>
      </c>
      <c r="B140">
        <v>2016</v>
      </c>
      <c r="C140" t="s">
        <v>53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 s="2">
        <f>AVERAGE(All_India_Index_Upto_April23__134[[#This Row],[Cereals and products]:[Food and beverages]])</f>
        <v>135.73846153846154</v>
      </c>
      <c r="R140" s="2">
        <f>AVERAGE(All_India_Index_Upto_April23__134[[#This Row],[Cereals and products]:[Prepared meals, snacks, sweets etc.]])</f>
        <v>135.66666666666666</v>
      </c>
    </row>
    <row r="141" spans="1:18" x14ac:dyDescent="0.25">
      <c r="A141" t="s">
        <v>33</v>
      </c>
      <c r="B141">
        <v>2016</v>
      </c>
      <c r="C141" t="s">
        <v>53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 s="2">
        <f>AVERAGE(All_India_Index_Upto_April23__134[[#This Row],[Cereals and products]:[Food and beverages]])</f>
        <v>135.01538461538462</v>
      </c>
      <c r="R141" s="2">
        <f>AVERAGE(All_India_Index_Upto_April23__134[[#This Row],[Cereals and products]:[Prepared meals, snacks, sweets etc.]])</f>
        <v>135</v>
      </c>
    </row>
    <row r="142" spans="1:18" x14ac:dyDescent="0.25">
      <c r="A142" t="s">
        <v>35</v>
      </c>
      <c r="B142">
        <v>2016</v>
      </c>
      <c r="C142" t="s">
        <v>53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 s="2">
        <f>AVERAGE(All_India_Index_Upto_April23__134[[#This Row],[Cereals and products]:[Food and beverages]])</f>
        <v>135.36923076923077</v>
      </c>
      <c r="R142" s="2">
        <f>AVERAGE(All_India_Index_Upto_April23__134[[#This Row],[Cereals and products]:[Prepared meals, snacks, sweets etc.]])</f>
        <v>135.30833333333334</v>
      </c>
    </row>
    <row r="143" spans="1:18" x14ac:dyDescent="0.25">
      <c r="A143" t="s">
        <v>30</v>
      </c>
      <c r="B143">
        <v>2016</v>
      </c>
      <c r="C143" t="s">
        <v>55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 s="2">
        <f>AVERAGE(All_India_Index_Upto_April23__134[[#This Row],[Cereals and products]:[Food and beverages]])</f>
        <v>134.54615384615383</v>
      </c>
      <c r="R143" s="2">
        <f>AVERAGE(All_India_Index_Upto_April23__134[[#This Row],[Cereals and products]:[Prepared meals, snacks, sweets etc.]])</f>
        <v>134.53333333333333</v>
      </c>
    </row>
    <row r="144" spans="1:18" x14ac:dyDescent="0.25">
      <c r="A144" t="s">
        <v>33</v>
      </c>
      <c r="B144">
        <v>2016</v>
      </c>
      <c r="C144" t="s">
        <v>55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 s="2">
        <f>AVERAGE(All_India_Index_Upto_April23__134[[#This Row],[Cereals and products]:[Food and beverages]])</f>
        <v>133.06153846153845</v>
      </c>
      <c r="R144" s="2">
        <f>AVERAGE(All_India_Index_Upto_April23__134[[#This Row],[Cereals and products]:[Prepared meals, snacks, sweets etc.]])</f>
        <v>133.08333333333334</v>
      </c>
    </row>
    <row r="145" spans="1:18" x14ac:dyDescent="0.25">
      <c r="A145" t="s">
        <v>35</v>
      </c>
      <c r="B145">
        <v>2016</v>
      </c>
      <c r="C145" t="s">
        <v>55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 s="2">
        <f>AVERAGE(All_India_Index_Upto_April23__134[[#This Row],[Cereals and products]:[Food and beverages]])</f>
        <v>133.9</v>
      </c>
      <c r="R145" s="2">
        <f>AVERAGE(All_India_Index_Upto_April23__134[[#This Row],[Cereals and products]:[Prepared meals, snacks, sweets etc.]])</f>
        <v>133.89166666666668</v>
      </c>
    </row>
    <row r="146" spans="1:18" x14ac:dyDescent="0.2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 s="2">
        <f>AVERAGE(All_India_Index_Upto_April23__134[[#This Row],[Cereals and products]:[Food and beverages]])</f>
        <v>133.63846153846154</v>
      </c>
      <c r="R146" s="2">
        <f>AVERAGE(All_India_Index_Upto_April23__134[[#This Row],[Cereals and products]:[Prepared meals, snacks, sweets etc.]])</f>
        <v>133.63333333333335</v>
      </c>
    </row>
    <row r="147" spans="1:18" x14ac:dyDescent="0.2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 s="2">
        <f>AVERAGE(All_India_Index_Upto_April23__134[[#This Row],[Cereals and products]:[Food and beverages]])</f>
        <v>131.78461538461539</v>
      </c>
      <c r="R147" s="2">
        <f>AVERAGE(All_India_Index_Upto_April23__134[[#This Row],[Cereals and products]:[Prepared meals, snacks, sweets etc.]])</f>
        <v>131.76666666666668</v>
      </c>
    </row>
    <row r="148" spans="1:18" x14ac:dyDescent="0.25">
      <c r="A148" t="s">
        <v>35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 s="2">
        <f>AVERAGE(All_India_Index_Upto_April23__134[[#This Row],[Cereals and products]:[Food and beverages]])</f>
        <v>132.86923076923074</v>
      </c>
      <c r="R148" s="2">
        <f>AVERAGE(All_India_Index_Upto_April23__134[[#This Row],[Cereals and products]:[Prepared meals, snacks, sweets etc.]])</f>
        <v>132.84999999999997</v>
      </c>
    </row>
    <row r="149" spans="1:18" x14ac:dyDescent="0.25">
      <c r="A149" t="s">
        <v>30</v>
      </c>
      <c r="B149">
        <v>2017</v>
      </c>
      <c r="C149" t="s">
        <v>36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 s="2">
        <f>AVERAGE(All_India_Index_Upto_April23__134[[#This Row],[Cereals and products]:[Food and beverages]])</f>
        <v>133.42307692307693</v>
      </c>
      <c r="R149" s="2">
        <f>AVERAGE(All_India_Index_Upto_April23__134[[#This Row],[Cereals and products]:[Prepared meals, snacks, sweets etc.]])</f>
        <v>133.40833333333336</v>
      </c>
    </row>
    <row r="150" spans="1:18" x14ac:dyDescent="0.25">
      <c r="A150" t="s">
        <v>33</v>
      </c>
      <c r="B150">
        <v>2017</v>
      </c>
      <c r="C150" t="s">
        <v>36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 s="2">
        <f>AVERAGE(All_India_Index_Upto_April23__134[[#This Row],[Cereals and products]:[Food and beverages]])</f>
        <v>131.17692307692309</v>
      </c>
      <c r="R150" s="2">
        <f>AVERAGE(All_India_Index_Upto_April23__134[[#This Row],[Cereals and products]:[Prepared meals, snacks, sweets etc.]])</f>
        <v>131.10000000000002</v>
      </c>
    </row>
    <row r="151" spans="1:18" x14ac:dyDescent="0.25">
      <c r="A151" t="s">
        <v>35</v>
      </c>
      <c r="B151">
        <v>2017</v>
      </c>
      <c r="C151" t="s">
        <v>36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 s="2">
        <f>AVERAGE(All_India_Index_Upto_April23__134[[#This Row],[Cereals and products]:[Food and beverages]])</f>
        <v>132.48461538461541</v>
      </c>
      <c r="R151" s="2">
        <f>AVERAGE(All_India_Index_Upto_April23__134[[#This Row],[Cereals and products]:[Prepared meals, snacks, sweets etc.]])</f>
        <v>132.44166666666669</v>
      </c>
    </row>
    <row r="152" spans="1:18" x14ac:dyDescent="0.25">
      <c r="A152" t="s">
        <v>30</v>
      </c>
      <c r="B152">
        <v>2017</v>
      </c>
      <c r="C152" t="s">
        <v>38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 s="2">
        <f>AVERAGE(All_India_Index_Upto_April23__134[[#This Row],[Cereals and products]:[Food and beverages]])</f>
        <v>132.96153846153848</v>
      </c>
      <c r="R152" s="2">
        <f>AVERAGE(All_India_Index_Upto_April23__134[[#This Row],[Cereals and products]:[Prepared meals, snacks, sweets etc.]])</f>
        <v>132.92500000000001</v>
      </c>
    </row>
    <row r="153" spans="1:18" x14ac:dyDescent="0.25">
      <c r="A153" t="s">
        <v>33</v>
      </c>
      <c r="B153">
        <v>2017</v>
      </c>
      <c r="C153" t="s">
        <v>38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 s="2">
        <f>AVERAGE(All_India_Index_Upto_April23__134[[#This Row],[Cereals and products]:[Food and beverages]])</f>
        <v>131.2076923076923</v>
      </c>
      <c r="R153" s="2">
        <f>AVERAGE(All_India_Index_Upto_April23__134[[#This Row],[Cereals and products]:[Prepared meals, snacks, sweets etc.]])</f>
        <v>131.09166666666667</v>
      </c>
    </row>
    <row r="154" spans="1:18" x14ac:dyDescent="0.25">
      <c r="A154" t="s">
        <v>35</v>
      </c>
      <c r="B154">
        <v>2017</v>
      </c>
      <c r="C154" t="s">
        <v>38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 s="2">
        <f>AVERAGE(All_India_Index_Upto_April23__134[[#This Row],[Cereals and products]:[Food and beverages]])</f>
        <v>132.22307692307692</v>
      </c>
      <c r="R154" s="2">
        <f>AVERAGE(All_India_Index_Upto_April23__134[[#This Row],[Cereals and products]:[Prepared meals, snacks, sweets etc.]])</f>
        <v>132.15</v>
      </c>
    </row>
    <row r="155" spans="1:18" x14ac:dyDescent="0.25">
      <c r="A155" t="s">
        <v>30</v>
      </c>
      <c r="B155">
        <v>2017</v>
      </c>
      <c r="C155" t="s">
        <v>39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 s="2">
        <f>AVERAGE(All_India_Index_Upto_April23__134[[#This Row],[Cereals and products]:[Food and beverages]])</f>
        <v>132.7923076923077</v>
      </c>
      <c r="R155" s="2">
        <f>AVERAGE(All_India_Index_Upto_April23__134[[#This Row],[Cereals and products]:[Prepared meals, snacks, sweets etc.]])</f>
        <v>132.73333333333332</v>
      </c>
    </row>
    <row r="156" spans="1:18" x14ac:dyDescent="0.25">
      <c r="A156" t="s">
        <v>33</v>
      </c>
      <c r="B156">
        <v>2017</v>
      </c>
      <c r="C156" t="s">
        <v>39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 s="2">
        <f>AVERAGE(All_India_Index_Upto_April23__134[[#This Row],[Cereals and products]:[Food and beverages]])</f>
        <v>131.3923076923077</v>
      </c>
      <c r="R156" s="2">
        <f>AVERAGE(All_India_Index_Upto_April23__134[[#This Row],[Cereals and products]:[Prepared meals, snacks, sweets etc.]])</f>
        <v>131.22499999999999</v>
      </c>
    </row>
    <row r="157" spans="1:18" x14ac:dyDescent="0.25">
      <c r="A157" t="s">
        <v>35</v>
      </c>
      <c r="B157">
        <v>2017</v>
      </c>
      <c r="C157" t="s">
        <v>39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 s="2">
        <f>AVERAGE(All_India_Index_Upto_April23__134[[#This Row],[Cereals and products]:[Food and beverages]])</f>
        <v>132.1846153846154</v>
      </c>
      <c r="R157" s="2">
        <f>AVERAGE(All_India_Index_Upto_April23__134[[#This Row],[Cereals and products]:[Prepared meals, snacks, sweets etc.]])</f>
        <v>132.07500000000002</v>
      </c>
    </row>
    <row r="158" spans="1:18" x14ac:dyDescent="0.25">
      <c r="A158" t="s">
        <v>30</v>
      </c>
      <c r="B158">
        <v>2017</v>
      </c>
      <c r="C158" t="s">
        <v>41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 s="2">
        <f>AVERAGE(All_India_Index_Upto_April23__134[[#This Row],[Cereals and products]:[Food and beverages]])</f>
        <v>132.88461538461536</v>
      </c>
      <c r="R158" s="2">
        <f>AVERAGE(All_India_Index_Upto_April23__134[[#This Row],[Cereals and products]:[Prepared meals, snacks, sweets etc.]])</f>
        <v>132.80833333333331</v>
      </c>
    </row>
    <row r="159" spans="1:18" x14ac:dyDescent="0.25">
      <c r="A159" t="s">
        <v>33</v>
      </c>
      <c r="B159">
        <v>2017</v>
      </c>
      <c r="C159" t="s">
        <v>41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 s="2">
        <f>AVERAGE(All_India_Index_Upto_April23__134[[#This Row],[Cereals and products]:[Food and beverages]])</f>
        <v>131.50769230769231</v>
      </c>
      <c r="R159" s="2">
        <f>AVERAGE(All_India_Index_Upto_April23__134[[#This Row],[Cereals and products]:[Prepared meals, snacks, sweets etc.]])</f>
        <v>131.33333333333334</v>
      </c>
    </row>
    <row r="160" spans="1:18" x14ac:dyDescent="0.25">
      <c r="A160" t="s">
        <v>35</v>
      </c>
      <c r="B160">
        <v>2017</v>
      </c>
      <c r="C160" t="s">
        <v>41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 s="2">
        <f>AVERAGE(All_India_Index_Upto_April23__134[[#This Row],[Cereals and products]:[Food and beverages]])</f>
        <v>132.27692307692308</v>
      </c>
      <c r="R160" s="2">
        <f>AVERAGE(All_India_Index_Upto_April23__134[[#This Row],[Cereals and products]:[Prepared meals, snacks, sweets etc.]])</f>
        <v>132.15833333333333</v>
      </c>
    </row>
    <row r="161" spans="1:18" x14ac:dyDescent="0.25">
      <c r="A161" t="s">
        <v>30</v>
      </c>
      <c r="B161">
        <v>2017</v>
      </c>
      <c r="C161" t="s">
        <v>42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 s="2">
        <f>AVERAGE(All_India_Index_Upto_April23__134[[#This Row],[Cereals and products]:[Food and beverages]])</f>
        <v>133.75384615384615</v>
      </c>
      <c r="R161" s="2">
        <f>AVERAGE(All_India_Index_Upto_April23__134[[#This Row],[Cereals and products]:[Prepared meals, snacks, sweets etc.]])</f>
        <v>133.65833333333333</v>
      </c>
    </row>
    <row r="162" spans="1:18" x14ac:dyDescent="0.25">
      <c r="A162" t="s">
        <v>33</v>
      </c>
      <c r="B162">
        <v>2017</v>
      </c>
      <c r="C162" t="s">
        <v>42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 s="2">
        <f>AVERAGE(All_India_Index_Upto_April23__134[[#This Row],[Cereals and products]:[Food and beverages]])</f>
        <v>133.15384615384616</v>
      </c>
      <c r="R162" s="2">
        <f>AVERAGE(All_India_Index_Upto_April23__134[[#This Row],[Cereals and products]:[Prepared meals, snacks, sweets etc.]])</f>
        <v>132.94166666666669</v>
      </c>
    </row>
    <row r="163" spans="1:18" x14ac:dyDescent="0.25">
      <c r="A163" t="s">
        <v>35</v>
      </c>
      <c r="B163">
        <v>2017</v>
      </c>
      <c r="C163" t="s">
        <v>42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 s="2">
        <f>AVERAGE(All_India_Index_Upto_April23__134[[#This Row],[Cereals and products]:[Food and beverages]])</f>
        <v>133.43846153846155</v>
      </c>
      <c r="R163" s="2">
        <f>AVERAGE(All_India_Index_Upto_April23__134[[#This Row],[Cereals and products]:[Prepared meals, snacks, sweets etc.]])</f>
        <v>133.29166666666666</v>
      </c>
    </row>
    <row r="164" spans="1:18" x14ac:dyDescent="0.25">
      <c r="A164" t="s">
        <v>30</v>
      </c>
      <c r="B164">
        <v>2017</v>
      </c>
      <c r="C164" t="s">
        <v>44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 s="2">
        <f>AVERAGE(All_India_Index_Upto_April23__134[[#This Row],[Cereals and products]:[Food and beverages]])</f>
        <v>136.37692307692308</v>
      </c>
      <c r="R164" s="2">
        <f>AVERAGE(All_India_Index_Upto_April23__134[[#This Row],[Cereals and products]:[Prepared meals, snacks, sweets etc.]])</f>
        <v>136.20000000000002</v>
      </c>
    </row>
    <row r="165" spans="1:18" x14ac:dyDescent="0.25">
      <c r="A165" t="s">
        <v>33</v>
      </c>
      <c r="B165">
        <v>2017</v>
      </c>
      <c r="C165" t="s">
        <v>44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 s="2">
        <f>AVERAGE(All_India_Index_Upto_April23__134[[#This Row],[Cereals and products]:[Food and beverages]])</f>
        <v>136.00769230769231</v>
      </c>
      <c r="R165" s="2">
        <f>AVERAGE(All_India_Index_Upto_April23__134[[#This Row],[Cereals and products]:[Prepared meals, snacks, sweets etc.]])</f>
        <v>135.69166666666666</v>
      </c>
    </row>
    <row r="166" spans="1:18" x14ac:dyDescent="0.25">
      <c r="A166" t="s">
        <v>35</v>
      </c>
      <c r="B166">
        <v>2017</v>
      </c>
      <c r="C166" t="s">
        <v>44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 s="2">
        <f>AVERAGE(All_India_Index_Upto_April23__134[[#This Row],[Cereals and products]:[Food and beverages]])</f>
        <v>136.1076923076923</v>
      </c>
      <c r="R166" s="2">
        <f>AVERAGE(All_India_Index_Upto_April23__134[[#This Row],[Cereals and products]:[Prepared meals, snacks, sweets etc.]])</f>
        <v>135.86666666666665</v>
      </c>
    </row>
    <row r="167" spans="1:18" x14ac:dyDescent="0.25">
      <c r="A167" t="s">
        <v>30</v>
      </c>
      <c r="B167">
        <v>2017</v>
      </c>
      <c r="C167" t="s">
        <v>46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 s="2">
        <f>AVERAGE(All_India_Index_Upto_April23__134[[#This Row],[Cereals and products]:[Food and beverages]])</f>
        <v>137.88461538461536</v>
      </c>
      <c r="R167" s="2">
        <f>AVERAGE(All_India_Index_Upto_April23__134[[#This Row],[Cereals and products]:[Prepared meals, snacks, sweets etc.]])</f>
        <v>137.65833333333333</v>
      </c>
    </row>
    <row r="168" spans="1:18" x14ac:dyDescent="0.25">
      <c r="A168" t="s">
        <v>33</v>
      </c>
      <c r="B168">
        <v>2017</v>
      </c>
      <c r="C168" t="s">
        <v>46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 s="2">
        <f>AVERAGE(All_India_Index_Upto_April23__134[[#This Row],[Cereals and products]:[Food and beverages]])</f>
        <v>136.38461538461536</v>
      </c>
      <c r="R168" s="2">
        <f>AVERAGE(All_India_Index_Upto_April23__134[[#This Row],[Cereals and products]:[Prepared meals, snacks, sweets etc.]])</f>
        <v>136.04166666666666</v>
      </c>
    </row>
    <row r="169" spans="1:18" x14ac:dyDescent="0.25">
      <c r="A169" t="s">
        <v>35</v>
      </c>
      <c r="B169">
        <v>2017</v>
      </c>
      <c r="C169" t="s">
        <v>46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 s="2">
        <f>AVERAGE(All_India_Index_Upto_April23__134[[#This Row],[Cereals and products]:[Food and beverages]])</f>
        <v>137.21538461538461</v>
      </c>
      <c r="R169" s="2">
        <f>AVERAGE(All_India_Index_Upto_April23__134[[#This Row],[Cereals and products]:[Prepared meals, snacks, sweets etc.]])</f>
        <v>136.93333333333334</v>
      </c>
    </row>
    <row r="170" spans="1:18" x14ac:dyDescent="0.25">
      <c r="A170" t="s">
        <v>30</v>
      </c>
      <c r="B170">
        <v>2017</v>
      </c>
      <c r="C170" t="s">
        <v>48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 s="2">
        <f>AVERAGE(All_India_Index_Upto_April23__134[[#This Row],[Cereals and products]:[Food and beverages]])</f>
        <v>137.25384615384615</v>
      </c>
      <c r="R170" s="2">
        <f>AVERAGE(All_India_Index_Upto_April23__134[[#This Row],[Cereals and products]:[Prepared meals, snacks, sweets etc.]])</f>
        <v>137.05833333333334</v>
      </c>
    </row>
    <row r="171" spans="1:18" x14ac:dyDescent="0.25">
      <c r="A171" t="s">
        <v>33</v>
      </c>
      <c r="B171">
        <v>2017</v>
      </c>
      <c r="C171" t="s">
        <v>48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 s="2">
        <f>AVERAGE(All_India_Index_Upto_April23__134[[#This Row],[Cereals and products]:[Food and beverages]])</f>
        <v>134.59230769230768</v>
      </c>
      <c r="R171" s="2">
        <f>AVERAGE(All_India_Index_Upto_April23__134[[#This Row],[Cereals and products]:[Prepared meals, snacks, sweets etc.]])</f>
        <v>134.30833333333334</v>
      </c>
    </row>
    <row r="172" spans="1:18" x14ac:dyDescent="0.25">
      <c r="A172" t="s">
        <v>35</v>
      </c>
      <c r="B172">
        <v>2017</v>
      </c>
      <c r="C172" t="s">
        <v>48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 s="2">
        <f>AVERAGE(All_India_Index_Upto_April23__134[[#This Row],[Cereals and products]:[Food and beverages]])</f>
        <v>136.15384615384613</v>
      </c>
      <c r="R172" s="2">
        <f>AVERAGE(All_India_Index_Upto_April23__134[[#This Row],[Cereals and products]:[Prepared meals, snacks, sweets etc.]])</f>
        <v>135.91666666666666</v>
      </c>
    </row>
    <row r="173" spans="1:18" x14ac:dyDescent="0.25">
      <c r="A173" t="s">
        <v>30</v>
      </c>
      <c r="B173">
        <v>2017</v>
      </c>
      <c r="C173" t="s">
        <v>50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 s="2">
        <f>AVERAGE(All_India_Index_Upto_April23__134[[#This Row],[Cereals and products]:[Food and beverages]])</f>
        <v>137.76153846153846</v>
      </c>
      <c r="R173" s="2">
        <f>AVERAGE(All_India_Index_Upto_April23__134[[#This Row],[Cereals and products]:[Prepared meals, snacks, sweets etc.]])</f>
        <v>137.54166666666666</v>
      </c>
    </row>
    <row r="174" spans="1:18" x14ac:dyDescent="0.25">
      <c r="A174" t="s">
        <v>33</v>
      </c>
      <c r="B174">
        <v>2017</v>
      </c>
      <c r="C174" t="s">
        <v>50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 s="2">
        <f>AVERAGE(All_India_Index_Upto_April23__134[[#This Row],[Cereals and products]:[Food and beverages]])</f>
        <v>135.82307692307691</v>
      </c>
      <c r="R174" s="2">
        <f>AVERAGE(All_India_Index_Upto_April23__134[[#This Row],[Cereals and products]:[Prepared meals, snacks, sweets etc.]])</f>
        <v>135.49999999999997</v>
      </c>
    </row>
    <row r="175" spans="1:18" x14ac:dyDescent="0.25">
      <c r="A175" t="s">
        <v>35</v>
      </c>
      <c r="B175">
        <v>2017</v>
      </c>
      <c r="C175" t="s">
        <v>50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 s="2">
        <f>AVERAGE(All_India_Index_Upto_April23__134[[#This Row],[Cereals and products]:[Food and beverages]])</f>
        <v>136.89999999999998</v>
      </c>
      <c r="R175" s="2">
        <f>AVERAGE(All_India_Index_Upto_April23__134[[#This Row],[Cereals and products]:[Prepared meals, snacks, sweets etc.]])</f>
        <v>136.63333333333333</v>
      </c>
    </row>
    <row r="176" spans="1:18" x14ac:dyDescent="0.25">
      <c r="A176" t="s">
        <v>30</v>
      </c>
      <c r="B176">
        <v>2017</v>
      </c>
      <c r="C176" t="s">
        <v>53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 s="2">
        <f>AVERAGE(All_India_Index_Upto_April23__134[[#This Row],[Cereals and products]:[Food and beverages]])</f>
        <v>139.82307692307694</v>
      </c>
      <c r="R176" s="2">
        <f>AVERAGE(All_India_Index_Upto_April23__134[[#This Row],[Cereals and products]:[Prepared meals, snacks, sweets etc.]])</f>
        <v>139.60833333333335</v>
      </c>
    </row>
    <row r="177" spans="1:18" x14ac:dyDescent="0.25">
      <c r="A177" t="s">
        <v>33</v>
      </c>
      <c r="B177">
        <v>2017</v>
      </c>
      <c r="C177" t="s">
        <v>53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 s="2">
        <f>AVERAGE(All_India_Index_Upto_April23__134[[#This Row],[Cereals and products]:[Food and beverages]])</f>
        <v>138.2076923076923</v>
      </c>
      <c r="R177" s="2">
        <f>AVERAGE(All_India_Index_Upto_April23__134[[#This Row],[Cereals and products]:[Prepared meals, snacks, sweets etc.]])</f>
        <v>137.93333333333334</v>
      </c>
    </row>
    <row r="178" spans="1:18" x14ac:dyDescent="0.25">
      <c r="A178" t="s">
        <v>35</v>
      </c>
      <c r="B178">
        <v>2017</v>
      </c>
      <c r="C178" t="s">
        <v>53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 s="2">
        <f>AVERAGE(All_India_Index_Upto_April23__134[[#This Row],[Cereals and products]:[Food and beverages]])</f>
        <v>139.09230769230768</v>
      </c>
      <c r="R178" s="2">
        <f>AVERAGE(All_India_Index_Upto_April23__134[[#This Row],[Cereals and products]:[Prepared meals, snacks, sweets etc.]])</f>
        <v>138.84166666666667</v>
      </c>
    </row>
    <row r="179" spans="1:18" x14ac:dyDescent="0.25">
      <c r="A179" t="s">
        <v>30</v>
      </c>
      <c r="B179">
        <v>2017</v>
      </c>
      <c r="C179" t="s">
        <v>55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 s="2">
        <f>AVERAGE(All_India_Index_Upto_April23__134[[#This Row],[Cereals and products]:[Food and beverages]])</f>
        <v>139.50769230769231</v>
      </c>
      <c r="R179" s="2">
        <f>AVERAGE(All_India_Index_Upto_April23__134[[#This Row],[Cereals and products]:[Prepared meals, snacks, sweets etc.]])</f>
        <v>139.34166666666667</v>
      </c>
    </row>
    <row r="180" spans="1:18" x14ac:dyDescent="0.25">
      <c r="A180" t="s">
        <v>33</v>
      </c>
      <c r="B180">
        <v>2017</v>
      </c>
      <c r="C180" t="s">
        <v>55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 s="2">
        <f>AVERAGE(All_India_Index_Upto_April23__134[[#This Row],[Cereals and products]:[Food and beverages]])</f>
        <v>135.96153846153845</v>
      </c>
      <c r="R180" s="2">
        <f>AVERAGE(All_India_Index_Upto_April23__134[[#This Row],[Cereals and products]:[Prepared meals, snacks, sweets etc.]])</f>
        <v>135.72499999999999</v>
      </c>
    </row>
    <row r="181" spans="1:18" x14ac:dyDescent="0.25">
      <c r="A181" t="s">
        <v>35</v>
      </c>
      <c r="B181">
        <v>2017</v>
      </c>
      <c r="C181" t="s">
        <v>55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 s="2">
        <f>AVERAGE(All_India_Index_Upto_April23__134[[#This Row],[Cereals and products]:[Food and beverages]])</f>
        <v>138.07692307692307</v>
      </c>
      <c r="R181" s="2">
        <f>AVERAGE(All_India_Index_Upto_April23__134[[#This Row],[Cereals and products]:[Prepared meals, snacks, sweets etc.]])</f>
        <v>137.87499999999997</v>
      </c>
    </row>
    <row r="182" spans="1:18" x14ac:dyDescent="0.2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 s="2">
        <f>AVERAGE(All_India_Index_Upto_April23__134[[#This Row],[Cereals and products]:[Food and beverages]])</f>
        <v>138.51538461538462</v>
      </c>
      <c r="R182" s="2">
        <f>AVERAGE(All_India_Index_Upto_April23__134[[#This Row],[Cereals and products]:[Prepared meals, snacks, sweets etc.]])</f>
        <v>138.35833333333332</v>
      </c>
    </row>
    <row r="183" spans="1:18" x14ac:dyDescent="0.2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 s="2">
        <f>AVERAGE(All_India_Index_Upto_April23__134[[#This Row],[Cereals and products]:[Food and beverages]])</f>
        <v>134.48461538461541</v>
      </c>
      <c r="R183" s="2">
        <f>AVERAGE(All_India_Index_Upto_April23__134[[#This Row],[Cereals and products]:[Prepared meals, snacks, sweets etc.]])</f>
        <v>134.25833333333335</v>
      </c>
    </row>
    <row r="184" spans="1:18" x14ac:dyDescent="0.25">
      <c r="A184" t="s">
        <v>35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 s="2">
        <f>AVERAGE(All_India_Index_Upto_April23__134[[#This Row],[Cereals and products]:[Food and beverages]])</f>
        <v>136.91538461538462</v>
      </c>
      <c r="R184" s="2">
        <f>AVERAGE(All_India_Index_Upto_April23__134[[#This Row],[Cereals and products]:[Prepared meals, snacks, sweets etc.]])</f>
        <v>136.72499999999999</v>
      </c>
    </row>
    <row r="185" spans="1:18" x14ac:dyDescent="0.25">
      <c r="A185" t="s">
        <v>30</v>
      </c>
      <c r="B185">
        <v>2018</v>
      </c>
      <c r="C185" t="s">
        <v>36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 s="2">
        <f>AVERAGE(All_India_Index_Upto_April23__134[[#This Row],[Cereals and products]:[Food and beverages]])</f>
        <v>137.03846153846155</v>
      </c>
      <c r="R185" s="2">
        <f>AVERAGE(All_India_Index_Upto_April23__134[[#This Row],[Cereals and products]:[Prepared meals, snacks, sweets etc.]])</f>
        <v>136.9</v>
      </c>
    </row>
    <row r="186" spans="1:18" x14ac:dyDescent="0.25">
      <c r="A186" t="s">
        <v>33</v>
      </c>
      <c r="B186">
        <v>2018</v>
      </c>
      <c r="C186" t="s">
        <v>36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 s="2">
        <f>AVERAGE(All_India_Index_Upto_April23__134[[#This Row],[Cereals and products]:[Food and beverages]])</f>
        <v>132.91538461538462</v>
      </c>
      <c r="R186" s="2">
        <f>AVERAGE(All_India_Index_Upto_April23__134[[#This Row],[Cereals and products]:[Prepared meals, snacks, sweets etc.]])</f>
        <v>132.69166666666669</v>
      </c>
    </row>
    <row r="187" spans="1:18" x14ac:dyDescent="0.25">
      <c r="A187" t="s">
        <v>35</v>
      </c>
      <c r="B187">
        <v>2018</v>
      </c>
      <c r="C187" t="s">
        <v>36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 s="2">
        <f>AVERAGE(All_India_Index_Upto_April23__134[[#This Row],[Cereals and products]:[Food and beverages]])</f>
        <v>135.4153846153846</v>
      </c>
      <c r="R187" s="2">
        <f>AVERAGE(All_India_Index_Upto_April23__134[[#This Row],[Cereals and products]:[Prepared meals, snacks, sweets etc.]])</f>
        <v>135.23333333333332</v>
      </c>
    </row>
    <row r="188" spans="1:18" x14ac:dyDescent="0.25">
      <c r="A188" t="s">
        <v>30</v>
      </c>
      <c r="B188">
        <v>2018</v>
      </c>
      <c r="C188" t="s">
        <v>38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 s="2">
        <f>AVERAGE(All_India_Index_Upto_April23__134[[#This Row],[Cereals and products]:[Food and beverages]])</f>
        <v>137.07692307692307</v>
      </c>
      <c r="R188" s="2">
        <f>AVERAGE(All_India_Index_Upto_April23__134[[#This Row],[Cereals and products]:[Prepared meals, snacks, sweets etc.]])</f>
        <v>136.94999999999999</v>
      </c>
    </row>
    <row r="189" spans="1:18" x14ac:dyDescent="0.25">
      <c r="A189" t="s">
        <v>33</v>
      </c>
      <c r="B189">
        <v>2018</v>
      </c>
      <c r="C189" t="s">
        <v>38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 s="2">
        <f>AVERAGE(All_India_Index_Upto_April23__134[[#This Row],[Cereals and products]:[Food and beverages]])</f>
        <v>131.96153846153845</v>
      </c>
      <c r="R189" s="2">
        <f>AVERAGE(All_India_Index_Upto_April23__134[[#This Row],[Cereals and products]:[Prepared meals, snacks, sweets etc.]])</f>
        <v>131.72499999999999</v>
      </c>
    </row>
    <row r="190" spans="1:18" x14ac:dyDescent="0.25">
      <c r="A190" t="s">
        <v>35</v>
      </c>
      <c r="B190">
        <v>2018</v>
      </c>
      <c r="C190" t="s">
        <v>38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 s="2">
        <f>AVERAGE(All_India_Index_Upto_April23__134[[#This Row],[Cereals and products]:[Food and beverages]])</f>
        <v>135.07692307692307</v>
      </c>
      <c r="R190" s="2">
        <f>AVERAGE(All_India_Index_Upto_April23__134[[#This Row],[Cereals and products]:[Prepared meals, snacks, sweets etc.]])</f>
        <v>134.9</v>
      </c>
    </row>
    <row r="191" spans="1:18" x14ac:dyDescent="0.25">
      <c r="A191" t="s">
        <v>30</v>
      </c>
      <c r="B191">
        <v>2018</v>
      </c>
      <c r="C191" t="s">
        <v>39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 s="2">
        <f>AVERAGE(All_India_Index_Upto_April23__134[[#This Row],[Cereals and products]:[Food and beverages]])</f>
        <v>136.92307692307693</v>
      </c>
      <c r="R191" s="2">
        <f>AVERAGE(All_India_Index_Upto_April23__134[[#This Row],[Cereals and products]:[Prepared meals, snacks, sweets etc.]])</f>
        <v>136.78333333333333</v>
      </c>
    </row>
    <row r="192" spans="1:18" x14ac:dyDescent="0.25">
      <c r="A192" t="s">
        <v>33</v>
      </c>
      <c r="B192">
        <v>2018</v>
      </c>
      <c r="C192" t="s">
        <v>39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 s="2">
        <f>AVERAGE(All_India_Index_Upto_April23__134[[#This Row],[Cereals and products]:[Food and beverages]])</f>
        <v>132.30769230769232</v>
      </c>
      <c r="R192" s="2">
        <f>AVERAGE(All_India_Index_Upto_April23__134[[#This Row],[Cereals and products]:[Prepared meals, snacks, sweets etc.]])</f>
        <v>132.02500000000001</v>
      </c>
    </row>
    <row r="193" spans="1:18" x14ac:dyDescent="0.25">
      <c r="A193" t="s">
        <v>35</v>
      </c>
      <c r="B193">
        <v>2018</v>
      </c>
      <c r="C193" t="s">
        <v>39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 s="2">
        <f>AVERAGE(All_India_Index_Upto_April23__134[[#This Row],[Cereals and products]:[Food and beverages]])</f>
        <v>135.16153846153847</v>
      </c>
      <c r="R193" s="2">
        <f>AVERAGE(All_India_Index_Upto_April23__134[[#This Row],[Cereals and products]:[Prepared meals, snacks, sweets etc.]])</f>
        <v>134.96666666666667</v>
      </c>
    </row>
    <row r="194" spans="1:18" x14ac:dyDescent="0.25">
      <c r="A194" t="s">
        <v>30</v>
      </c>
      <c r="B194">
        <v>2018</v>
      </c>
      <c r="C194" t="s">
        <v>41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 s="2">
        <f>AVERAGE(All_India_Index_Upto_April23__134[[#This Row],[Cereals and products]:[Food and beverages]])</f>
        <v>137.1076923076923</v>
      </c>
      <c r="R194" s="2">
        <f>AVERAGE(All_India_Index_Upto_April23__134[[#This Row],[Cereals and products]:[Prepared meals, snacks, sweets etc.]])</f>
        <v>136.94166666666669</v>
      </c>
    </row>
    <row r="195" spans="1:18" x14ac:dyDescent="0.25">
      <c r="A195" t="s">
        <v>33</v>
      </c>
      <c r="B195">
        <v>2018</v>
      </c>
      <c r="C195" t="s">
        <v>41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 s="2">
        <f>AVERAGE(All_India_Index_Upto_April23__134[[#This Row],[Cereals and products]:[Food and beverages]])</f>
        <v>132.53076923076921</v>
      </c>
      <c r="R195" s="2">
        <f>AVERAGE(All_India_Index_Upto_April23__134[[#This Row],[Cereals and products]:[Prepared meals, snacks, sweets etc.]])</f>
        <v>132.20833333333331</v>
      </c>
    </row>
    <row r="196" spans="1:18" x14ac:dyDescent="0.25">
      <c r="A196" t="s">
        <v>35</v>
      </c>
      <c r="B196">
        <v>2018</v>
      </c>
      <c r="C196" t="s">
        <v>41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 s="2">
        <f>AVERAGE(All_India_Index_Upto_April23__134[[#This Row],[Cereals and products]:[Food and beverages]])</f>
        <v>135.36923076923077</v>
      </c>
      <c r="R196" s="2">
        <f>AVERAGE(All_India_Index_Upto_April23__134[[#This Row],[Cereals and products]:[Prepared meals, snacks, sweets etc.]])</f>
        <v>135.14166666666668</v>
      </c>
    </row>
    <row r="197" spans="1:18" x14ac:dyDescent="0.25">
      <c r="A197" t="s">
        <v>30</v>
      </c>
      <c r="B197">
        <v>2018</v>
      </c>
      <c r="C197" t="s">
        <v>42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 s="2">
        <f>AVERAGE(All_India_Index_Upto_April23__134[[#This Row],[Cereals and products]:[Food and beverages]])</f>
        <v>137.71538461538461</v>
      </c>
      <c r="R197" s="2">
        <f>AVERAGE(All_India_Index_Upto_April23__134[[#This Row],[Cereals and products]:[Prepared meals, snacks, sweets etc.]])</f>
        <v>137.52499999999998</v>
      </c>
    </row>
    <row r="198" spans="1:18" x14ac:dyDescent="0.25">
      <c r="A198" t="s">
        <v>33</v>
      </c>
      <c r="B198">
        <v>2018</v>
      </c>
      <c r="C198" t="s">
        <v>42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 s="2">
        <f>AVERAGE(All_India_Index_Upto_April23__134[[#This Row],[Cereals and products]:[Food and beverages]])</f>
        <v>134.40769230769232</v>
      </c>
      <c r="R198" s="2">
        <f>AVERAGE(All_India_Index_Upto_April23__134[[#This Row],[Cereals and products]:[Prepared meals, snacks, sweets etc.]])</f>
        <v>134.07500000000002</v>
      </c>
    </row>
    <row r="199" spans="1:18" x14ac:dyDescent="0.25">
      <c r="A199" t="s">
        <v>35</v>
      </c>
      <c r="B199">
        <v>2018</v>
      </c>
      <c r="C199" t="s">
        <v>42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 s="2">
        <f>AVERAGE(All_India_Index_Upto_April23__134[[#This Row],[Cereals and products]:[Food and beverages]])</f>
        <v>136.46923076923079</v>
      </c>
      <c r="R199" s="2">
        <f>AVERAGE(All_India_Index_Upto_April23__134[[#This Row],[Cereals and products]:[Prepared meals, snacks, sweets etc.]])</f>
        <v>136.22499999999999</v>
      </c>
    </row>
    <row r="200" spans="1:18" x14ac:dyDescent="0.25">
      <c r="A200" t="s">
        <v>30</v>
      </c>
      <c r="B200">
        <v>2018</v>
      </c>
      <c r="C200" t="s">
        <v>44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 s="2">
        <f>AVERAGE(All_India_Index_Upto_April23__134[[#This Row],[Cereals and products]:[Food and beverages]])</f>
        <v>139.26923076923077</v>
      </c>
      <c r="R200" s="2">
        <f>AVERAGE(All_India_Index_Upto_April23__134[[#This Row],[Cereals and products]:[Prepared meals, snacks, sweets etc.]])</f>
        <v>139.04166666666669</v>
      </c>
    </row>
    <row r="201" spans="1:18" x14ac:dyDescent="0.25">
      <c r="A201" t="s">
        <v>33</v>
      </c>
      <c r="B201">
        <v>2018</v>
      </c>
      <c r="C201" t="s">
        <v>44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 s="2">
        <f>AVERAGE(All_India_Index_Upto_April23__134[[#This Row],[Cereals and products]:[Food and beverages]])</f>
        <v>136.23846153846154</v>
      </c>
      <c r="R201" s="2">
        <f>AVERAGE(All_India_Index_Upto_April23__134[[#This Row],[Cereals and products]:[Prepared meals, snacks, sweets etc.]])</f>
        <v>135.9</v>
      </c>
    </row>
    <row r="202" spans="1:18" x14ac:dyDescent="0.25">
      <c r="A202" t="s">
        <v>35</v>
      </c>
      <c r="B202">
        <v>2018</v>
      </c>
      <c r="C202" t="s">
        <v>44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 s="2">
        <f>AVERAGE(All_India_Index_Upto_April23__134[[#This Row],[Cereals and products]:[Food and beverages]])</f>
        <v>138.1</v>
      </c>
      <c r="R202" s="2">
        <f>AVERAGE(All_India_Index_Upto_April23__134[[#This Row],[Cereals and products]:[Prepared meals, snacks, sweets etc.]])</f>
        <v>137.82499999999999</v>
      </c>
    </row>
    <row r="203" spans="1:18" x14ac:dyDescent="0.25">
      <c r="A203" t="s">
        <v>30</v>
      </c>
      <c r="B203">
        <v>2018</v>
      </c>
      <c r="C203" t="s">
        <v>46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 s="2">
        <f>AVERAGE(All_India_Index_Upto_April23__134[[#This Row],[Cereals and products]:[Food and beverages]])</f>
        <v>139.90769230769232</v>
      </c>
      <c r="R203" s="2">
        <f>AVERAGE(All_India_Index_Upto_April23__134[[#This Row],[Cereals and products]:[Prepared meals, snacks, sweets etc.]])</f>
        <v>139.67499999999998</v>
      </c>
    </row>
    <row r="204" spans="1:18" x14ac:dyDescent="0.25">
      <c r="A204" t="s">
        <v>33</v>
      </c>
      <c r="B204">
        <v>2018</v>
      </c>
      <c r="C204" t="s">
        <v>46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 s="2">
        <f>AVERAGE(All_India_Index_Upto_April23__134[[#This Row],[Cereals and products]:[Food and beverages]])</f>
        <v>135.96923076923076</v>
      </c>
      <c r="R204" s="2">
        <f>AVERAGE(All_India_Index_Upto_April23__134[[#This Row],[Cereals and products]:[Prepared meals, snacks, sweets etc.]])</f>
        <v>135.625</v>
      </c>
    </row>
    <row r="205" spans="1:18" x14ac:dyDescent="0.25">
      <c r="A205" t="s">
        <v>35</v>
      </c>
      <c r="B205">
        <v>2018</v>
      </c>
      <c r="C205" t="s">
        <v>46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 s="2">
        <f>AVERAGE(All_India_Index_Upto_April23__134[[#This Row],[Cereals and products]:[Food and beverages]])</f>
        <v>138.36153846153849</v>
      </c>
      <c r="R205" s="2">
        <f>AVERAGE(All_India_Index_Upto_April23__134[[#This Row],[Cereals and products]:[Prepared meals, snacks, sweets etc.]])</f>
        <v>138.08333333333334</v>
      </c>
    </row>
    <row r="206" spans="1:18" x14ac:dyDescent="0.25">
      <c r="A206" t="s">
        <v>30</v>
      </c>
      <c r="B206">
        <v>2018</v>
      </c>
      <c r="C206" t="s">
        <v>48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 s="2">
        <f>AVERAGE(All_India_Index_Upto_April23__134[[#This Row],[Cereals and products]:[Food and beverages]])</f>
        <v>138.44615384615386</v>
      </c>
      <c r="R206" s="2">
        <f>AVERAGE(All_India_Index_Upto_April23__134[[#This Row],[Cereals and products]:[Prepared meals, snacks, sweets etc.]])</f>
        <v>138.20833333333334</v>
      </c>
    </row>
    <row r="207" spans="1:18" x14ac:dyDescent="0.25">
      <c r="A207" t="s">
        <v>33</v>
      </c>
      <c r="B207">
        <v>2018</v>
      </c>
      <c r="C207" t="s">
        <v>48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 s="2">
        <f>AVERAGE(All_India_Index_Upto_April23__134[[#This Row],[Cereals and products]:[Food and beverages]])</f>
        <v>134.49230769230769</v>
      </c>
      <c r="R207" s="2">
        <f>AVERAGE(All_India_Index_Upto_April23__134[[#This Row],[Cereals and products]:[Prepared meals, snacks, sweets etc.]])</f>
        <v>134.125</v>
      </c>
    </row>
    <row r="208" spans="1:18" x14ac:dyDescent="0.25">
      <c r="A208" t="s">
        <v>35</v>
      </c>
      <c r="B208">
        <v>2018</v>
      </c>
      <c r="C208" t="s">
        <v>48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 s="2">
        <f>AVERAGE(All_India_Index_Upto_April23__134[[#This Row],[Cereals and products]:[Food and beverages]])</f>
        <v>136.88461538461539</v>
      </c>
      <c r="R208" s="2">
        <f>AVERAGE(All_India_Index_Upto_April23__134[[#This Row],[Cereals and products]:[Prepared meals, snacks, sweets etc.]])</f>
        <v>136.59166666666667</v>
      </c>
    </row>
    <row r="209" spans="1:18" x14ac:dyDescent="0.25">
      <c r="A209" t="s">
        <v>30</v>
      </c>
      <c r="B209">
        <v>2018</v>
      </c>
      <c r="C209" t="s">
        <v>50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 s="2">
        <f>AVERAGE(All_India_Index_Upto_April23__134[[#This Row],[Cereals and products]:[Food and beverages]])</f>
        <v>137.09230769230768</v>
      </c>
      <c r="R209" s="2">
        <f>AVERAGE(All_India_Index_Upto_April23__134[[#This Row],[Cereals and products]:[Prepared meals, snacks, sweets etc.]])</f>
        <v>136.83333333333334</v>
      </c>
    </row>
    <row r="210" spans="1:18" x14ac:dyDescent="0.25">
      <c r="A210" t="s">
        <v>33</v>
      </c>
      <c r="B210">
        <v>2018</v>
      </c>
      <c r="C210" t="s">
        <v>50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 s="2">
        <f>AVERAGE(All_India_Index_Upto_April23__134[[#This Row],[Cereals and products]:[Food and beverages]])</f>
        <v>134.93076923076922</v>
      </c>
      <c r="R210" s="2">
        <f>AVERAGE(All_India_Index_Upto_April23__134[[#This Row],[Cereals and products]:[Prepared meals, snacks, sweets etc.]])</f>
        <v>134.55833333333331</v>
      </c>
    </row>
    <row r="211" spans="1:18" x14ac:dyDescent="0.25">
      <c r="A211" t="s">
        <v>35</v>
      </c>
      <c r="B211">
        <v>2018</v>
      </c>
      <c r="C211" t="s">
        <v>50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 s="2">
        <f>AVERAGE(All_India_Index_Upto_April23__134[[#This Row],[Cereals and products]:[Food and beverages]])</f>
        <v>136.63076923076923</v>
      </c>
      <c r="R211" s="2">
        <f>AVERAGE(All_India_Index_Upto_April23__134[[#This Row],[Cereals and products]:[Prepared meals, snacks, sweets etc.]])</f>
        <v>136.375</v>
      </c>
    </row>
    <row r="212" spans="1:18" x14ac:dyDescent="0.25">
      <c r="A212" t="s">
        <v>30</v>
      </c>
      <c r="B212">
        <v>2018</v>
      </c>
      <c r="C212" t="s">
        <v>53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 s="2">
        <f>AVERAGE(All_India_Index_Upto_April23__134[[#This Row],[Cereals and products]:[Food and beverages]])</f>
        <v>137.49999999999997</v>
      </c>
      <c r="R212" s="2">
        <f>AVERAGE(All_India_Index_Upto_April23__134[[#This Row],[Cereals and products]:[Prepared meals, snacks, sweets etc.]])</f>
        <v>137.29166666666663</v>
      </c>
    </row>
    <row r="213" spans="1:18" x14ac:dyDescent="0.25">
      <c r="A213" t="s">
        <v>33</v>
      </c>
      <c r="B213">
        <v>2018</v>
      </c>
      <c r="C213" t="s">
        <v>53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 s="2">
        <f>AVERAGE(All_India_Index_Upto_April23__134[[#This Row],[Cereals and products]:[Food and beverages]])</f>
        <v>135.19230769230768</v>
      </c>
      <c r="R213" s="2">
        <f>AVERAGE(All_India_Index_Upto_April23__134[[#This Row],[Cereals and products]:[Prepared meals, snacks, sweets etc.]])</f>
        <v>134.86666666666665</v>
      </c>
    </row>
    <row r="214" spans="1:18" x14ac:dyDescent="0.25">
      <c r="A214" t="s">
        <v>35</v>
      </c>
      <c r="B214">
        <v>2018</v>
      </c>
      <c r="C214" t="s">
        <v>53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 s="2">
        <f>AVERAGE(All_India_Index_Upto_April23__134[[#This Row],[Cereals and products]:[Food and beverages]])</f>
        <v>136.59230769230771</v>
      </c>
      <c r="R214" s="2">
        <f>AVERAGE(All_India_Index_Upto_April23__134[[#This Row],[Cereals and products]:[Prepared meals, snacks, sweets etc.]])</f>
        <v>136.33333333333334</v>
      </c>
    </row>
    <row r="215" spans="1:18" x14ac:dyDescent="0.25">
      <c r="A215" t="s">
        <v>30</v>
      </c>
      <c r="B215">
        <v>2018</v>
      </c>
      <c r="C215" t="s">
        <v>55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 s="2">
        <f>AVERAGE(All_India_Index_Upto_April23__134[[#This Row],[Cereals and products]:[Food and beverages]])</f>
        <v>136.3923076923077</v>
      </c>
      <c r="R215" s="2">
        <f>AVERAGE(All_India_Index_Upto_April23__134[[#This Row],[Cereals and products]:[Prepared meals, snacks, sweets etc.]])</f>
        <v>136.21666666666667</v>
      </c>
    </row>
    <row r="216" spans="1:18" x14ac:dyDescent="0.25">
      <c r="A216" t="s">
        <v>33</v>
      </c>
      <c r="B216">
        <v>2018</v>
      </c>
      <c r="C216" t="s">
        <v>55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 s="2">
        <f>AVERAGE(All_India_Index_Upto_April23__134[[#This Row],[Cereals and products]:[Food and beverages]])</f>
        <v>134.35384615384615</v>
      </c>
      <c r="R216" s="2">
        <f>AVERAGE(All_India_Index_Upto_April23__134[[#This Row],[Cereals and products]:[Prepared meals, snacks, sweets etc.]])</f>
        <v>134.08333333333334</v>
      </c>
    </row>
    <row r="217" spans="1:18" x14ac:dyDescent="0.25">
      <c r="A217" t="s">
        <v>35</v>
      </c>
      <c r="B217">
        <v>2018</v>
      </c>
      <c r="C217" t="s">
        <v>55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 s="2">
        <f>AVERAGE(All_India_Index_Upto_April23__134[[#This Row],[Cereals and products]:[Food and beverages]])</f>
        <v>135.59999999999997</v>
      </c>
      <c r="R217" s="2">
        <f>AVERAGE(All_India_Index_Upto_April23__134[[#This Row],[Cereals and products]:[Prepared meals, snacks, sweets etc.]])</f>
        <v>135.3833333333333</v>
      </c>
    </row>
    <row r="218" spans="1:18" x14ac:dyDescent="0.2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 s="2">
        <f>AVERAGE(All_India_Index_Upto_April23__134[[#This Row],[Cereals and products]:[Food and beverages]])</f>
        <v>135.35384615384618</v>
      </c>
      <c r="R218" s="2">
        <f>AVERAGE(All_India_Index_Upto_April23__134[[#This Row],[Cereals and products]:[Prepared meals, snacks, sweets etc.]])</f>
        <v>135.18333333333334</v>
      </c>
    </row>
    <row r="219" spans="1:18" x14ac:dyDescent="0.2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 s="2">
        <f>AVERAGE(All_India_Index_Upto_April23__134[[#This Row],[Cereals and products]:[Food and beverages]])</f>
        <v>134.17692307692309</v>
      </c>
      <c r="R219" s="2">
        <f>AVERAGE(All_India_Index_Upto_April23__134[[#This Row],[Cereals and products]:[Prepared meals, snacks, sweets etc.]])</f>
        <v>133.91666666666669</v>
      </c>
    </row>
    <row r="220" spans="1:18" x14ac:dyDescent="0.25">
      <c r="A220" t="s">
        <v>35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 s="2">
        <f>AVERAGE(All_India_Index_Upto_April23__134[[#This Row],[Cereals and products]:[Food and beverages]])</f>
        <v>134.87692307692308</v>
      </c>
      <c r="R220" s="2">
        <f>AVERAGE(All_India_Index_Upto_April23__134[[#This Row],[Cereals and products]:[Prepared meals, snacks, sweets etc.]])</f>
        <v>134.66666666666666</v>
      </c>
    </row>
    <row r="221" spans="1:18" x14ac:dyDescent="0.25">
      <c r="A221" t="s">
        <v>30</v>
      </c>
      <c r="B221">
        <v>2019</v>
      </c>
      <c r="C221" t="s">
        <v>36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 s="2">
        <f>AVERAGE(All_India_Index_Upto_April23__134[[#This Row],[Cereals and products]:[Food and beverages]])</f>
        <v>135.3692307692308</v>
      </c>
      <c r="R221" s="2">
        <f>AVERAGE(All_India_Index_Upto_April23__134[[#This Row],[Cereals and products]:[Prepared meals, snacks, sweets etc.]])</f>
        <v>135.21666666666667</v>
      </c>
    </row>
    <row r="222" spans="1:18" x14ac:dyDescent="0.25">
      <c r="A222" t="s">
        <v>33</v>
      </c>
      <c r="B222">
        <v>2019</v>
      </c>
      <c r="C222" t="s">
        <v>36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 s="2">
        <f>AVERAGE(All_India_Index_Upto_April23__134[[#This Row],[Cereals and products]:[Food and beverages]])</f>
        <v>134.95384615384617</v>
      </c>
      <c r="R222" s="2">
        <f>AVERAGE(All_India_Index_Upto_April23__134[[#This Row],[Cereals and products]:[Prepared meals, snacks, sweets etc.]])</f>
        <v>134.70000000000002</v>
      </c>
    </row>
    <row r="223" spans="1:18" x14ac:dyDescent="0.25">
      <c r="A223" t="s">
        <v>35</v>
      </c>
      <c r="B223">
        <v>2019</v>
      </c>
      <c r="C223" t="s">
        <v>36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 s="2">
        <f>AVERAGE(All_India_Index_Upto_April23__134[[#This Row],[Cereals and products]:[Food and beverages]])</f>
        <v>135.16153846153844</v>
      </c>
      <c r="R223" s="2">
        <f>AVERAGE(All_India_Index_Upto_April23__134[[#This Row],[Cereals and products]:[Prepared meals, snacks, sweets etc.]])</f>
        <v>134.96666666666667</v>
      </c>
    </row>
    <row r="224" spans="1:18" x14ac:dyDescent="0.25">
      <c r="A224" t="s">
        <v>30</v>
      </c>
      <c r="B224">
        <v>2019</v>
      </c>
      <c r="C224" t="s">
        <v>38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 s="2">
        <f>AVERAGE(All_India_Index_Upto_April23__134[[#This Row],[Cereals and products]:[Food and beverages]])</f>
        <v>135.4769230769231</v>
      </c>
      <c r="R224" s="2">
        <f>AVERAGE(All_India_Index_Upto_April23__134[[#This Row],[Cereals and products]:[Prepared meals, snacks, sweets etc.]])</f>
        <v>135.32500000000002</v>
      </c>
    </row>
    <row r="225" spans="1:18" x14ac:dyDescent="0.25">
      <c r="A225" t="s">
        <v>33</v>
      </c>
      <c r="B225">
        <v>2019</v>
      </c>
      <c r="C225" t="s">
        <v>38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 s="2">
        <f>AVERAGE(All_India_Index_Upto_April23__134[[#This Row],[Cereals and products]:[Food and beverages]])</f>
        <v>136.03076923076924</v>
      </c>
      <c r="R225" s="2">
        <f>AVERAGE(All_India_Index_Upto_April23__134[[#This Row],[Cereals and products]:[Prepared meals, snacks, sweets etc.]])</f>
        <v>135.73333333333335</v>
      </c>
    </row>
    <row r="226" spans="1:18" x14ac:dyDescent="0.25">
      <c r="A226" t="s">
        <v>35</v>
      </c>
      <c r="B226">
        <v>2019</v>
      </c>
      <c r="C226" t="s">
        <v>38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 s="2">
        <f>AVERAGE(All_India_Index_Upto_April23__134[[#This Row],[Cereals and products]:[Food and beverages]])</f>
        <v>135.6076923076923</v>
      </c>
      <c r="R226" s="2">
        <f>AVERAGE(All_India_Index_Upto_April23__134[[#This Row],[Cereals and products]:[Prepared meals, snacks, sweets etc.]])</f>
        <v>135.4</v>
      </c>
    </row>
    <row r="227" spans="1:18" x14ac:dyDescent="0.25">
      <c r="A227" t="s">
        <v>30</v>
      </c>
      <c r="B227">
        <v>2019</v>
      </c>
      <c r="C227" t="s">
        <v>41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 s="2">
        <f>AVERAGE(All_India_Index_Upto_April23__134[[#This Row],[Cereals and products]:[Food and beverages]])</f>
        <v>137.0846153846154</v>
      </c>
      <c r="R227" s="2">
        <f>AVERAGE(All_India_Index_Upto_April23__134[[#This Row],[Cereals and products]:[Prepared meals, snacks, sweets etc.]])</f>
        <v>136.90833333333333</v>
      </c>
    </row>
    <row r="228" spans="1:18" x14ac:dyDescent="0.25">
      <c r="A228" t="s">
        <v>33</v>
      </c>
      <c r="B228">
        <v>2019</v>
      </c>
      <c r="C228" t="s">
        <v>41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 s="2">
        <f>AVERAGE(All_India_Index_Upto_April23__134[[#This Row],[Cereals and products]:[Food and beverages]])</f>
        <v>139.34615384615387</v>
      </c>
      <c r="R228" s="2">
        <f>AVERAGE(All_India_Index_Upto_April23__134[[#This Row],[Cereals and products]:[Prepared meals, snacks, sweets etc.]])</f>
        <v>138.97500000000002</v>
      </c>
    </row>
    <row r="229" spans="1:18" x14ac:dyDescent="0.25">
      <c r="A229" t="s">
        <v>35</v>
      </c>
      <c r="B229">
        <v>2019</v>
      </c>
      <c r="C229" t="s">
        <v>41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 s="2">
        <f>AVERAGE(All_India_Index_Upto_April23__134[[#This Row],[Cereals and products]:[Food and beverages]])</f>
        <v>137.83846153846156</v>
      </c>
      <c r="R229" s="2">
        <f>AVERAGE(All_India_Index_Upto_April23__134[[#This Row],[Cereals and products]:[Prepared meals, snacks, sweets etc.]])</f>
        <v>137.58333333333334</v>
      </c>
    </row>
    <row r="230" spans="1:18" x14ac:dyDescent="0.25">
      <c r="A230" t="s">
        <v>30</v>
      </c>
      <c r="B230">
        <v>2019</v>
      </c>
      <c r="C230" t="s">
        <v>42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 s="2">
        <f>AVERAGE(All_India_Index_Upto_April23__134[[#This Row],[Cereals and products]:[Food and beverages]])</f>
        <v>138.78461538461536</v>
      </c>
      <c r="R230" s="2">
        <f>AVERAGE(All_India_Index_Upto_April23__134[[#This Row],[Cereals and products]:[Prepared meals, snacks, sweets etc.]])</f>
        <v>138.6</v>
      </c>
    </row>
    <row r="231" spans="1:18" x14ac:dyDescent="0.25">
      <c r="A231" t="s">
        <v>33</v>
      </c>
      <c r="B231">
        <v>2019</v>
      </c>
      <c r="C231" t="s">
        <v>42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 s="2">
        <f>AVERAGE(All_India_Index_Upto_April23__134[[#This Row],[Cereals and products]:[Food and beverages]])</f>
        <v>141.0230769230769</v>
      </c>
      <c r="R231" s="2">
        <f>AVERAGE(All_India_Index_Upto_April23__134[[#This Row],[Cereals and products]:[Prepared meals, snacks, sweets etc.]])</f>
        <v>140.64166666666665</v>
      </c>
    </row>
    <row r="232" spans="1:18" x14ac:dyDescent="0.25">
      <c r="A232" t="s">
        <v>35</v>
      </c>
      <c r="B232">
        <v>2019</v>
      </c>
      <c r="C232" t="s">
        <v>42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 s="2">
        <f>AVERAGE(All_India_Index_Upto_April23__134[[#This Row],[Cereals and products]:[Food and beverages]])</f>
        <v>139.54615384615386</v>
      </c>
      <c r="R232" s="2">
        <f>AVERAGE(All_India_Index_Upto_April23__134[[#This Row],[Cereals and products]:[Prepared meals, snacks, sweets etc.]])</f>
        <v>139.28333333333333</v>
      </c>
    </row>
    <row r="233" spans="1:18" x14ac:dyDescent="0.25">
      <c r="A233" t="s">
        <v>30</v>
      </c>
      <c r="B233">
        <v>2019</v>
      </c>
      <c r="C233" t="s">
        <v>44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 s="2">
        <f>AVERAGE(All_India_Index_Upto_April23__134[[#This Row],[Cereals and products]:[Food and beverages]])</f>
        <v>140.53076923076921</v>
      </c>
      <c r="R233" s="2">
        <f>AVERAGE(All_India_Index_Upto_April23__134[[#This Row],[Cereals and products]:[Prepared meals, snacks, sweets etc.]])</f>
        <v>140.32499999999999</v>
      </c>
    </row>
    <row r="234" spans="1:18" x14ac:dyDescent="0.25">
      <c r="A234" t="s">
        <v>33</v>
      </c>
      <c r="B234">
        <v>2019</v>
      </c>
      <c r="C234" t="s">
        <v>44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 s="2">
        <f>AVERAGE(All_India_Index_Upto_April23__134[[#This Row],[Cereals and products]:[Food and beverages]])</f>
        <v>142.87692307692308</v>
      </c>
      <c r="R234" s="2">
        <f>AVERAGE(All_India_Index_Upto_April23__134[[#This Row],[Cereals and products]:[Prepared meals, snacks, sweets etc.]])</f>
        <v>142.47499999999999</v>
      </c>
    </row>
    <row r="235" spans="1:18" x14ac:dyDescent="0.25">
      <c r="A235" t="s">
        <v>35</v>
      </c>
      <c r="B235">
        <v>2019</v>
      </c>
      <c r="C235" t="s">
        <v>44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 s="2">
        <f>AVERAGE(All_India_Index_Upto_April23__134[[#This Row],[Cereals and products]:[Food and beverages]])</f>
        <v>141.34615384615384</v>
      </c>
      <c r="R235" s="2">
        <f>AVERAGE(All_India_Index_Upto_April23__134[[#This Row],[Cereals and products]:[Prepared meals, snacks, sweets etc.]])</f>
        <v>141.06666666666666</v>
      </c>
    </row>
    <row r="236" spans="1:18" x14ac:dyDescent="0.25">
      <c r="A236" t="s">
        <v>30</v>
      </c>
      <c r="B236">
        <v>2019</v>
      </c>
      <c r="C236" t="s">
        <v>46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 s="2">
        <f>AVERAGE(All_India_Index_Upto_April23__134[[#This Row],[Cereals and products]:[Food and beverages]])</f>
        <v>141.11538461538464</v>
      </c>
      <c r="R236" s="2">
        <f>AVERAGE(All_India_Index_Upto_April23__134[[#This Row],[Cereals and products]:[Prepared meals, snacks, sweets etc.]])</f>
        <v>140.87500000000003</v>
      </c>
    </row>
    <row r="237" spans="1:18" x14ac:dyDescent="0.25">
      <c r="A237" t="s">
        <v>33</v>
      </c>
      <c r="B237">
        <v>2019</v>
      </c>
      <c r="C237" t="s">
        <v>46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 s="2">
        <f>AVERAGE(All_India_Index_Upto_April23__134[[#This Row],[Cereals and products]:[Food and beverages]])</f>
        <v>143.77692307692308</v>
      </c>
      <c r="R237" s="2">
        <f>AVERAGE(All_India_Index_Upto_April23__134[[#This Row],[Cereals and products]:[Prepared meals, snacks, sweets etc.]])</f>
        <v>143.33333333333334</v>
      </c>
    </row>
    <row r="238" spans="1:18" x14ac:dyDescent="0.25">
      <c r="A238" t="s">
        <v>35</v>
      </c>
      <c r="B238">
        <v>2019</v>
      </c>
      <c r="C238" t="s">
        <v>46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 s="2">
        <f>AVERAGE(All_India_Index_Upto_April23__134[[#This Row],[Cereals and products]:[Food and beverages]])</f>
        <v>142.03846153846155</v>
      </c>
      <c r="R238" s="2">
        <f>AVERAGE(All_India_Index_Upto_April23__134[[#This Row],[Cereals and products]:[Prepared meals, snacks, sweets etc.]])</f>
        <v>141.71666666666667</v>
      </c>
    </row>
    <row r="239" spans="1:18" x14ac:dyDescent="0.25">
      <c r="A239" t="s">
        <v>30</v>
      </c>
      <c r="B239">
        <v>2019</v>
      </c>
      <c r="C239" t="s">
        <v>48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 s="2">
        <f>AVERAGE(All_India_Index_Upto_April23__134[[#This Row],[Cereals and products]:[Food and beverages]])</f>
        <v>142.2076923076923</v>
      </c>
      <c r="R239" s="2">
        <f>AVERAGE(All_India_Index_Upto_April23__134[[#This Row],[Cereals and products]:[Prepared meals, snacks, sweets etc.]])</f>
        <v>141.93333333333334</v>
      </c>
    </row>
    <row r="240" spans="1:18" x14ac:dyDescent="0.25">
      <c r="A240" t="s">
        <v>33</v>
      </c>
      <c r="B240">
        <v>2019</v>
      </c>
      <c r="C240" t="s">
        <v>48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 s="2">
        <f>AVERAGE(All_India_Index_Upto_April23__134[[#This Row],[Cereals and products]:[Food and beverages]])</f>
        <v>144.22307692307692</v>
      </c>
      <c r="R240" s="2">
        <f>AVERAGE(All_India_Index_Upto_April23__134[[#This Row],[Cereals and products]:[Prepared meals, snacks, sweets etc.]])</f>
        <v>143.78333333333333</v>
      </c>
    </row>
    <row r="241" spans="1:18" x14ac:dyDescent="0.25">
      <c r="A241" t="s">
        <v>35</v>
      </c>
      <c r="B241">
        <v>2019</v>
      </c>
      <c r="C241" t="s">
        <v>48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 s="2">
        <f>AVERAGE(All_India_Index_Upto_April23__134[[#This Row],[Cereals and products]:[Food and beverages]])</f>
        <v>142.89999999999998</v>
      </c>
      <c r="R241" s="2">
        <f>AVERAGE(All_India_Index_Upto_April23__134[[#This Row],[Cereals and products]:[Prepared meals, snacks, sweets etc.]])</f>
        <v>142.55833333333331</v>
      </c>
    </row>
    <row r="242" spans="1:18" x14ac:dyDescent="0.25">
      <c r="A242" t="s">
        <v>30</v>
      </c>
      <c r="B242">
        <v>2019</v>
      </c>
      <c r="C242" t="s">
        <v>50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 s="2">
        <f>AVERAGE(All_India_Index_Upto_April23__134[[#This Row],[Cereals and products]:[Food and beverages]])</f>
        <v>144.37692307692305</v>
      </c>
      <c r="R242" s="2">
        <f>AVERAGE(All_India_Index_Upto_April23__134[[#This Row],[Cereals and products]:[Prepared meals, snacks, sweets etc.]])</f>
        <v>144.04999999999998</v>
      </c>
    </row>
    <row r="243" spans="1:18" x14ac:dyDescent="0.25">
      <c r="A243" t="s">
        <v>33</v>
      </c>
      <c r="B243">
        <v>2019</v>
      </c>
      <c r="C243" t="s">
        <v>50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 s="2">
        <f>AVERAGE(All_India_Index_Upto_April23__134[[#This Row],[Cereals and products]:[Food and beverages]])</f>
        <v>146.35384615384618</v>
      </c>
      <c r="R243" s="2">
        <f>AVERAGE(All_India_Index_Upto_April23__134[[#This Row],[Cereals and products]:[Prepared meals, snacks, sweets etc.]])</f>
        <v>145.89166666666668</v>
      </c>
    </row>
    <row r="244" spans="1:18" x14ac:dyDescent="0.25">
      <c r="A244" t="s">
        <v>35</v>
      </c>
      <c r="B244">
        <v>2019</v>
      </c>
      <c r="C244" t="s">
        <v>50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 s="2">
        <f>AVERAGE(All_India_Index_Upto_April23__134[[#This Row],[Cereals and products]:[Food and beverages]])</f>
        <v>145.04615384615383</v>
      </c>
      <c r="R244" s="2">
        <f>AVERAGE(All_India_Index_Upto_April23__134[[#This Row],[Cereals and products]:[Prepared meals, snacks, sweets etc.]])</f>
        <v>144.66666666666666</v>
      </c>
    </row>
    <row r="245" spans="1:18" x14ac:dyDescent="0.25">
      <c r="A245" t="s">
        <v>30</v>
      </c>
      <c r="B245">
        <v>2019</v>
      </c>
      <c r="C245" t="s">
        <v>53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 s="2">
        <f>AVERAGE(All_India_Index_Upto_April23__134[[#This Row],[Cereals and products]:[Food and beverages]])</f>
        <v>146.50769230769231</v>
      </c>
      <c r="R245" s="2">
        <f>AVERAGE(All_India_Index_Upto_April23__134[[#This Row],[Cereals and products]:[Prepared meals, snacks, sweets etc.]])</f>
        <v>146.14166666666668</v>
      </c>
    </row>
    <row r="246" spans="1:18" x14ac:dyDescent="0.25">
      <c r="A246" t="s">
        <v>33</v>
      </c>
      <c r="B246">
        <v>2019</v>
      </c>
      <c r="C246" t="s">
        <v>53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 s="2">
        <f>AVERAGE(All_India_Index_Upto_April23__134[[#This Row],[Cereals and products]:[Food and beverages]])</f>
        <v>147.99999999999997</v>
      </c>
      <c r="R246" s="2">
        <f>AVERAGE(All_India_Index_Upto_April23__134[[#This Row],[Cereals and products]:[Prepared meals, snacks, sweets etc.]])</f>
        <v>147.53333333333333</v>
      </c>
    </row>
    <row r="247" spans="1:18" x14ac:dyDescent="0.25">
      <c r="A247" t="s">
        <v>35</v>
      </c>
      <c r="B247">
        <v>2019</v>
      </c>
      <c r="C247" t="s">
        <v>53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 s="2">
        <f>AVERAGE(All_India_Index_Upto_April23__134[[#This Row],[Cereals and products]:[Food and beverages]])</f>
        <v>146.99230769230769</v>
      </c>
      <c r="R247" s="2">
        <f>AVERAGE(All_India_Index_Upto_April23__134[[#This Row],[Cereals and products]:[Prepared meals, snacks, sweets etc.]])</f>
        <v>146.58333333333334</v>
      </c>
    </row>
    <row r="248" spans="1:18" x14ac:dyDescent="0.25">
      <c r="A248" t="s">
        <v>30</v>
      </c>
      <c r="B248">
        <v>2019</v>
      </c>
      <c r="C248" t="s">
        <v>55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 s="2">
        <f>AVERAGE(All_India_Index_Upto_April23__134[[#This Row],[Cereals and products]:[Food and beverages]])</f>
        <v>149.30769230769226</v>
      </c>
      <c r="R248" s="2">
        <f>AVERAGE(All_India_Index_Upto_April23__134[[#This Row],[Cereals and products]:[Prepared meals, snacks, sweets etc.]])</f>
        <v>148.89166666666662</v>
      </c>
    </row>
    <row r="249" spans="1:18" x14ac:dyDescent="0.25">
      <c r="A249" t="s">
        <v>33</v>
      </c>
      <c r="B249">
        <v>2019</v>
      </c>
      <c r="C249" t="s">
        <v>55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 s="2">
        <f>AVERAGE(All_India_Index_Upto_April23__134[[#This Row],[Cereals and products]:[Food and beverages]])</f>
        <v>150.51538461538462</v>
      </c>
      <c r="R249" s="2">
        <f>AVERAGE(All_India_Index_Upto_April23__134[[#This Row],[Cereals and products]:[Prepared meals, snacks, sweets etc.]])</f>
        <v>150.03333333333333</v>
      </c>
    </row>
    <row r="250" spans="1:18" x14ac:dyDescent="0.25">
      <c r="A250" t="s">
        <v>35</v>
      </c>
      <c r="B250">
        <v>2019</v>
      </c>
      <c r="C250" t="s">
        <v>55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 s="2">
        <f>AVERAGE(All_India_Index_Upto_April23__134[[#This Row],[Cereals and products]:[Food and beverages]])</f>
        <v>149.70000000000002</v>
      </c>
      <c r="R250" s="2">
        <f>AVERAGE(All_India_Index_Upto_April23__134[[#This Row],[Cereals and products]:[Prepared meals, snacks, sweets etc.]])</f>
        <v>149.25833333333335</v>
      </c>
    </row>
    <row r="251" spans="1:18" x14ac:dyDescent="0.2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 s="2">
        <f>AVERAGE(All_India_Index_Upto_April23__134[[#This Row],[Cereals and products]:[Food and beverages]])</f>
        <v>149.12307692307692</v>
      </c>
      <c r="R251" s="2">
        <f>AVERAGE(All_India_Index_Upto_April23__134[[#This Row],[Cereals and products]:[Prepared meals, snacks, sweets etc.]])</f>
        <v>148.79999999999998</v>
      </c>
    </row>
    <row r="252" spans="1:18" x14ac:dyDescent="0.25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 s="2">
        <f>AVERAGE(All_India_Index_Upto_April23__134[[#This Row],[Cereals and products]:[Food and beverages]])</f>
        <v>149.64615384615382</v>
      </c>
      <c r="R252" s="2">
        <f>AVERAGE(All_India_Index_Upto_April23__134[[#This Row],[Cereals and products]:[Prepared meals, snacks, sweets etc.]])</f>
        <v>149.24999999999997</v>
      </c>
    </row>
    <row r="253" spans="1:18" x14ac:dyDescent="0.25">
      <c r="A253" t="s">
        <v>35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 s="2">
        <f>AVERAGE(All_India_Index_Upto_April23__134[[#This Row],[Cereals and products]:[Food and beverages]])</f>
        <v>149.26153846153846</v>
      </c>
      <c r="R253" s="2">
        <f>AVERAGE(All_India_Index_Upto_April23__134[[#This Row],[Cereals and products]:[Prepared meals, snacks, sweets etc.]])</f>
        <v>148.90833333333333</v>
      </c>
    </row>
    <row r="254" spans="1:18" x14ac:dyDescent="0.25">
      <c r="A254" t="s">
        <v>30</v>
      </c>
      <c r="B254">
        <v>2020</v>
      </c>
      <c r="C254" t="s">
        <v>36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 s="2">
        <f>AVERAGE(All_India_Index_Upto_April23__134[[#This Row],[Cereals and products]:[Food and beverages]])</f>
        <v>146.90769230769229</v>
      </c>
      <c r="R254" s="2">
        <f>AVERAGE(All_India_Index_Upto_April23__134[[#This Row],[Cereals and products]:[Prepared meals, snacks, sweets etc.]])</f>
        <v>146.66666666666666</v>
      </c>
    </row>
    <row r="255" spans="1:18" x14ac:dyDescent="0.25">
      <c r="A255" t="s">
        <v>33</v>
      </c>
      <c r="B255">
        <v>2020</v>
      </c>
      <c r="C255" t="s">
        <v>36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 s="2">
        <f>AVERAGE(All_India_Index_Upto_April23__134[[#This Row],[Cereals and products]:[Food and beverages]])</f>
        <v>147.43076923076922</v>
      </c>
      <c r="R255" s="2">
        <f>AVERAGE(All_India_Index_Upto_April23__134[[#This Row],[Cereals and products]:[Prepared meals, snacks, sweets etc.]])</f>
        <v>147.07499999999999</v>
      </c>
    </row>
    <row r="256" spans="1:18" x14ac:dyDescent="0.25">
      <c r="A256" t="s">
        <v>35</v>
      </c>
      <c r="B256">
        <v>2020</v>
      </c>
      <c r="C256" t="s">
        <v>36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 s="2">
        <f>AVERAGE(All_India_Index_Upto_April23__134[[#This Row],[Cereals and products]:[Food and beverages]])</f>
        <v>147.04615384615383</v>
      </c>
      <c r="R256" s="2">
        <f>AVERAGE(All_India_Index_Upto_April23__134[[#This Row],[Cereals and products]:[Prepared meals, snacks, sweets etc.]])</f>
        <v>146.75833333333333</v>
      </c>
    </row>
    <row r="257" spans="1:18" x14ac:dyDescent="0.25">
      <c r="A257" t="s">
        <v>30</v>
      </c>
      <c r="B257">
        <v>2020</v>
      </c>
      <c r="C257" t="s">
        <v>38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 s="2">
        <f>AVERAGE(All_India_Index_Upto_April23__134[[#This Row],[Cereals and products]:[Food and beverages]])</f>
        <v>145.73846153846151</v>
      </c>
      <c r="R257" s="2">
        <f>AVERAGE(All_India_Index_Upto_April23__134[[#This Row],[Cereals and products]:[Prepared meals, snacks, sweets etc.]])</f>
        <v>145.5333333333333</v>
      </c>
    </row>
    <row r="258" spans="1:18" x14ac:dyDescent="0.25">
      <c r="A258" t="s">
        <v>33</v>
      </c>
      <c r="B258">
        <v>2020</v>
      </c>
      <c r="C258" t="s">
        <v>38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 s="2">
        <f>AVERAGE(All_India_Index_Upto_April23__134[[#This Row],[Cereals and products]:[Food and beverages]])</f>
        <v>146.03846153846155</v>
      </c>
      <c r="R258" s="2">
        <f>AVERAGE(All_India_Index_Upto_April23__134[[#This Row],[Cereals and products]:[Prepared meals, snacks, sweets etc.]])</f>
        <v>145.70000000000002</v>
      </c>
    </row>
    <row r="259" spans="1:18" x14ac:dyDescent="0.25">
      <c r="A259" t="s">
        <v>35</v>
      </c>
      <c r="B259">
        <v>2020</v>
      </c>
      <c r="C259" t="s">
        <v>38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 s="2">
        <f>AVERAGE(All_India_Index_Upto_April23__134[[#This Row],[Cereals and products]:[Food and beverages]])</f>
        <v>145.80000000000001</v>
      </c>
      <c r="R259" s="2">
        <f>AVERAGE(All_India_Index_Upto_April23__134[[#This Row],[Cereals and products]:[Prepared meals, snacks, sweets etc.]])</f>
        <v>145.54166666666666</v>
      </c>
    </row>
    <row r="260" spans="1:18" x14ac:dyDescent="0.25">
      <c r="A260" t="s">
        <v>30</v>
      </c>
      <c r="B260">
        <v>2020</v>
      </c>
      <c r="C260" t="s">
        <v>42</v>
      </c>
      <c r="D260">
        <v>148.19999999999999</v>
      </c>
      <c r="E260">
        <v>190.3</v>
      </c>
      <c r="F260">
        <v>149.4</v>
      </c>
      <c r="G260">
        <v>153.30000000000001</v>
      </c>
      <c r="H260">
        <v>138.19999999999999</v>
      </c>
      <c r="I260">
        <v>143.19999999999999</v>
      </c>
      <c r="J260">
        <v>148.9</v>
      </c>
      <c r="K260">
        <v>150.30000000000001</v>
      </c>
      <c r="L260">
        <v>113.2</v>
      </c>
      <c r="M260">
        <v>159.80000000000001</v>
      </c>
      <c r="N260">
        <v>142.1</v>
      </c>
      <c r="O260">
        <v>161.80000000000001</v>
      </c>
      <c r="P260">
        <v>152.30000000000001</v>
      </c>
      <c r="Q260" s="2">
        <f>AVERAGE(All_India_Index_Upto_April23__134[[#This Row],[Cereals and products]:[Food and beverages]])</f>
        <v>150.07692307692307</v>
      </c>
      <c r="R260" s="2">
        <f>AVERAGE(All_India_Index_Upto_April23__134[[#This Row],[Cereals and products]:[Prepared meals, snacks, sweets etc.]])</f>
        <v>149.89166666666668</v>
      </c>
    </row>
    <row r="261" spans="1:18" x14ac:dyDescent="0.25">
      <c r="A261" t="s">
        <v>33</v>
      </c>
      <c r="B261">
        <v>2020</v>
      </c>
      <c r="C261" t="s">
        <v>42</v>
      </c>
      <c r="D261">
        <v>152.69999999999999</v>
      </c>
      <c r="E261">
        <v>197</v>
      </c>
      <c r="F261">
        <v>154.6</v>
      </c>
      <c r="G261">
        <v>153.4</v>
      </c>
      <c r="H261">
        <v>132.9</v>
      </c>
      <c r="I261">
        <v>151.80000000000001</v>
      </c>
      <c r="J261">
        <v>171.2</v>
      </c>
      <c r="K261">
        <v>152</v>
      </c>
      <c r="L261">
        <v>116.3</v>
      </c>
      <c r="M261">
        <v>158.80000000000001</v>
      </c>
      <c r="N261">
        <v>135.6</v>
      </c>
      <c r="O261">
        <v>161.69999999999999</v>
      </c>
      <c r="P261">
        <v>157</v>
      </c>
      <c r="Q261" s="2">
        <f>AVERAGE(All_India_Index_Upto_April23__134[[#This Row],[Cereals and products]:[Food and beverages]])</f>
        <v>153.46153846153845</v>
      </c>
      <c r="R261" s="2">
        <f>AVERAGE(All_India_Index_Upto_April23__134[[#This Row],[Cereals and products]:[Prepared meals, snacks, sweets etc.]])</f>
        <v>153.16666666666666</v>
      </c>
    </row>
    <row r="262" spans="1:18" x14ac:dyDescent="0.25">
      <c r="A262" t="s">
        <v>35</v>
      </c>
      <c r="B262">
        <v>2020</v>
      </c>
      <c r="C262" t="s">
        <v>42</v>
      </c>
      <c r="D262">
        <v>149.6</v>
      </c>
      <c r="E262">
        <v>192.7</v>
      </c>
      <c r="F262">
        <v>151.4</v>
      </c>
      <c r="G262">
        <v>153.30000000000001</v>
      </c>
      <c r="H262">
        <v>136.30000000000001</v>
      </c>
      <c r="I262">
        <v>147.19999999999999</v>
      </c>
      <c r="J262">
        <v>156.5</v>
      </c>
      <c r="K262">
        <v>150.9</v>
      </c>
      <c r="L262">
        <v>114.2</v>
      </c>
      <c r="M262">
        <v>159.5</v>
      </c>
      <c r="N262">
        <v>139.4</v>
      </c>
      <c r="O262">
        <v>161.80000000000001</v>
      </c>
      <c r="P262">
        <v>154</v>
      </c>
      <c r="Q262" s="2">
        <f>AVERAGE(All_India_Index_Upto_April23__134[[#This Row],[Cereals and products]:[Food and beverages]])</f>
        <v>151.2923076923077</v>
      </c>
      <c r="R262" s="2">
        <f>AVERAGE(All_India_Index_Upto_April23__134[[#This Row],[Cereals and products]:[Prepared meals, snacks, sweets etc.]])</f>
        <v>151.06666666666669</v>
      </c>
    </row>
    <row r="263" spans="1:18" x14ac:dyDescent="0.25">
      <c r="A263" t="s">
        <v>30</v>
      </c>
      <c r="B263">
        <v>2020</v>
      </c>
      <c r="C263" t="s">
        <v>44</v>
      </c>
      <c r="D263">
        <v>148.19999999999999</v>
      </c>
      <c r="E263">
        <v>190.3</v>
      </c>
      <c r="F263">
        <v>149.4</v>
      </c>
      <c r="G263">
        <v>153.30000000000001</v>
      </c>
      <c r="H263">
        <v>138.19999999999999</v>
      </c>
      <c r="I263">
        <v>143.19999999999999</v>
      </c>
      <c r="J263">
        <v>148.9</v>
      </c>
      <c r="K263">
        <v>150.30000000000001</v>
      </c>
      <c r="L263">
        <v>113.2</v>
      </c>
      <c r="M263">
        <v>159.80000000000001</v>
      </c>
      <c r="N263">
        <v>142.1</v>
      </c>
      <c r="O263">
        <v>161.80000000000001</v>
      </c>
      <c r="P263">
        <v>152.30000000000001</v>
      </c>
      <c r="Q263" s="2">
        <f>AVERAGE(All_India_Index_Upto_April23__134[[#This Row],[Cereals and products]:[Food and beverages]])</f>
        <v>150.07692307692307</v>
      </c>
      <c r="R263" s="2">
        <f>AVERAGE(All_India_Index_Upto_April23__134[[#This Row],[Cereals and products]:[Prepared meals, snacks, sweets etc.]])</f>
        <v>149.89166666666668</v>
      </c>
    </row>
    <row r="264" spans="1:18" x14ac:dyDescent="0.25">
      <c r="A264" t="s">
        <v>33</v>
      </c>
      <c r="B264">
        <v>2020</v>
      </c>
      <c r="C264" t="s">
        <v>44</v>
      </c>
      <c r="D264">
        <v>152.69999999999999</v>
      </c>
      <c r="E264">
        <v>197</v>
      </c>
      <c r="F264">
        <v>154.6</v>
      </c>
      <c r="G264">
        <v>153.4</v>
      </c>
      <c r="H264">
        <v>132.9</v>
      </c>
      <c r="I264">
        <v>151.80000000000001</v>
      </c>
      <c r="J264">
        <v>171.2</v>
      </c>
      <c r="K264">
        <v>152</v>
      </c>
      <c r="L264">
        <v>116.3</v>
      </c>
      <c r="M264">
        <v>158.80000000000001</v>
      </c>
      <c r="N264">
        <v>135.6</v>
      </c>
      <c r="O264">
        <v>161.69999999999999</v>
      </c>
      <c r="P264">
        <v>157</v>
      </c>
      <c r="Q264" s="2">
        <f>AVERAGE(All_India_Index_Upto_April23__134[[#This Row],[Cereals and products]:[Food and beverages]])</f>
        <v>153.46153846153845</v>
      </c>
      <c r="R264" s="2">
        <f>AVERAGE(All_India_Index_Upto_April23__134[[#This Row],[Cereals and products]:[Prepared meals, snacks, sweets etc.]])</f>
        <v>153.16666666666666</v>
      </c>
    </row>
    <row r="265" spans="1:18" x14ac:dyDescent="0.25">
      <c r="A265" t="s">
        <v>35</v>
      </c>
      <c r="B265">
        <v>2020</v>
      </c>
      <c r="C265" t="s">
        <v>44</v>
      </c>
      <c r="D265">
        <v>149.6</v>
      </c>
      <c r="E265">
        <v>192.7</v>
      </c>
      <c r="F265">
        <v>151.4</v>
      </c>
      <c r="G265">
        <v>153.30000000000001</v>
      </c>
      <c r="H265">
        <v>136.30000000000001</v>
      </c>
      <c r="I265">
        <v>147.19999999999999</v>
      </c>
      <c r="J265">
        <v>156.5</v>
      </c>
      <c r="K265">
        <v>150.9</v>
      </c>
      <c r="L265">
        <v>114.2</v>
      </c>
      <c r="M265">
        <v>159.5</v>
      </c>
      <c r="N265">
        <v>139.4</v>
      </c>
      <c r="O265">
        <v>161.80000000000001</v>
      </c>
      <c r="P265">
        <v>154</v>
      </c>
      <c r="Q265" s="2">
        <f>AVERAGE(All_India_Index_Upto_April23__134[[#This Row],[Cereals and products]:[Food and beverages]])</f>
        <v>151.2923076923077</v>
      </c>
      <c r="R265" s="2">
        <f>AVERAGE(All_India_Index_Upto_April23__134[[#This Row],[Cereals and products]:[Prepared meals, snacks, sweets etc.]])</f>
        <v>151.06666666666669</v>
      </c>
    </row>
    <row r="266" spans="1:18" x14ac:dyDescent="0.25">
      <c r="A266" t="s">
        <v>30</v>
      </c>
      <c r="B266">
        <v>2020</v>
      </c>
      <c r="C266" t="s">
        <v>46</v>
      </c>
      <c r="D266">
        <v>147.6</v>
      </c>
      <c r="E266">
        <v>187.2</v>
      </c>
      <c r="F266">
        <v>148.4</v>
      </c>
      <c r="G266">
        <v>153.30000000000001</v>
      </c>
      <c r="H266">
        <v>139.80000000000001</v>
      </c>
      <c r="I266">
        <v>146.9</v>
      </c>
      <c r="J266">
        <v>171</v>
      </c>
      <c r="K266">
        <v>149.9</v>
      </c>
      <c r="L266">
        <v>114.2</v>
      </c>
      <c r="M266">
        <v>160</v>
      </c>
      <c r="N266">
        <v>143.5</v>
      </c>
      <c r="O266">
        <v>161.5</v>
      </c>
      <c r="P266">
        <v>155.30000000000001</v>
      </c>
      <c r="Q266" s="2">
        <f>AVERAGE(All_India_Index_Upto_April23__134[[#This Row],[Cereals and products]:[Food and beverages]])</f>
        <v>152.19999999999999</v>
      </c>
      <c r="R266" s="2">
        <f>AVERAGE(All_India_Index_Upto_April23__134[[#This Row],[Cereals and products]:[Prepared meals, snacks, sweets etc.]])</f>
        <v>151.94166666666666</v>
      </c>
    </row>
    <row r="267" spans="1:18" x14ac:dyDescent="0.25">
      <c r="A267" t="s">
        <v>33</v>
      </c>
      <c r="B267">
        <v>2020</v>
      </c>
      <c r="C267" t="s">
        <v>46</v>
      </c>
      <c r="D267">
        <v>151.6</v>
      </c>
      <c r="E267">
        <v>197.8</v>
      </c>
      <c r="F267">
        <v>154.5</v>
      </c>
      <c r="G267">
        <v>153.4</v>
      </c>
      <c r="H267">
        <v>133.4</v>
      </c>
      <c r="I267">
        <v>154.5</v>
      </c>
      <c r="J267">
        <v>191.9</v>
      </c>
      <c r="K267">
        <v>151.30000000000001</v>
      </c>
      <c r="L267">
        <v>116.8</v>
      </c>
      <c r="M267">
        <v>160</v>
      </c>
      <c r="N267">
        <v>136.5</v>
      </c>
      <c r="O267">
        <v>163.30000000000001</v>
      </c>
      <c r="P267">
        <v>159.9</v>
      </c>
      <c r="Q267" s="2">
        <f>AVERAGE(All_India_Index_Upto_April23__134[[#This Row],[Cereals and products]:[Food and beverages]])</f>
        <v>155.76153846153846</v>
      </c>
      <c r="R267" s="2">
        <f>AVERAGE(All_India_Index_Upto_April23__134[[#This Row],[Cereals and products]:[Prepared meals, snacks, sweets etc.]])</f>
        <v>155.41666666666666</v>
      </c>
    </row>
    <row r="268" spans="1:18" x14ac:dyDescent="0.25">
      <c r="A268" t="s">
        <v>35</v>
      </c>
      <c r="B268">
        <v>2020</v>
      </c>
      <c r="C268" t="s">
        <v>46</v>
      </c>
      <c r="D268">
        <v>148.9</v>
      </c>
      <c r="E268">
        <v>190.9</v>
      </c>
      <c r="F268">
        <v>150.80000000000001</v>
      </c>
      <c r="G268">
        <v>153.30000000000001</v>
      </c>
      <c r="H268">
        <v>137.4</v>
      </c>
      <c r="I268">
        <v>150.4</v>
      </c>
      <c r="J268">
        <v>178.1</v>
      </c>
      <c r="K268">
        <v>150.4</v>
      </c>
      <c r="L268">
        <v>115.1</v>
      </c>
      <c r="M268">
        <v>160</v>
      </c>
      <c r="N268">
        <v>140.6</v>
      </c>
      <c r="O268">
        <v>162.30000000000001</v>
      </c>
      <c r="P268">
        <v>157</v>
      </c>
      <c r="Q268" s="2">
        <f>AVERAGE(All_India_Index_Upto_April23__134[[#This Row],[Cereals and products]:[Food and beverages]])</f>
        <v>153.47692307692307</v>
      </c>
      <c r="R268" s="2">
        <f>AVERAGE(All_India_Index_Upto_April23__134[[#This Row],[Cereals and products]:[Prepared meals, snacks, sweets etc.]])</f>
        <v>153.18333333333331</v>
      </c>
    </row>
    <row r="269" spans="1:18" x14ac:dyDescent="0.25">
      <c r="A269" t="s">
        <v>30</v>
      </c>
      <c r="B269">
        <v>2020</v>
      </c>
      <c r="C269" t="s">
        <v>48</v>
      </c>
      <c r="D269">
        <v>146.9</v>
      </c>
      <c r="E269">
        <v>183.9</v>
      </c>
      <c r="F269">
        <v>149.5</v>
      </c>
      <c r="G269">
        <v>153.4</v>
      </c>
      <c r="H269">
        <v>140.4</v>
      </c>
      <c r="I269">
        <v>147</v>
      </c>
      <c r="J269">
        <v>178.8</v>
      </c>
      <c r="K269">
        <v>149.30000000000001</v>
      </c>
      <c r="L269">
        <v>115.1</v>
      </c>
      <c r="M269">
        <v>160</v>
      </c>
      <c r="N269">
        <v>145.4</v>
      </c>
      <c r="O269">
        <v>161.6</v>
      </c>
      <c r="P269">
        <v>156.1</v>
      </c>
      <c r="Q269" s="2">
        <f>AVERAGE(All_India_Index_Upto_April23__134[[#This Row],[Cereals and products]:[Food and beverages]])</f>
        <v>152.87692307692308</v>
      </c>
      <c r="R269" s="2">
        <f>AVERAGE(All_India_Index_Upto_April23__134[[#This Row],[Cereals and products]:[Prepared meals, snacks, sweets etc.]])</f>
        <v>152.60833333333332</v>
      </c>
    </row>
    <row r="270" spans="1:18" x14ac:dyDescent="0.25">
      <c r="A270" t="s">
        <v>33</v>
      </c>
      <c r="B270">
        <v>2020</v>
      </c>
      <c r="C270" t="s">
        <v>48</v>
      </c>
      <c r="D270">
        <v>151.5</v>
      </c>
      <c r="E270">
        <v>193.1</v>
      </c>
      <c r="F270">
        <v>157.30000000000001</v>
      </c>
      <c r="G270">
        <v>153.9</v>
      </c>
      <c r="H270">
        <v>134.4</v>
      </c>
      <c r="I270">
        <v>155.4</v>
      </c>
      <c r="J270">
        <v>202</v>
      </c>
      <c r="K270">
        <v>150.80000000000001</v>
      </c>
      <c r="L270">
        <v>118.9</v>
      </c>
      <c r="M270">
        <v>160.9</v>
      </c>
      <c r="N270">
        <v>137.69999999999999</v>
      </c>
      <c r="O270">
        <v>164.4</v>
      </c>
      <c r="P270">
        <v>161.30000000000001</v>
      </c>
      <c r="Q270" s="2">
        <f>AVERAGE(All_India_Index_Upto_April23__134[[#This Row],[Cereals and products]:[Food and beverages]])</f>
        <v>157.04615384615386</v>
      </c>
      <c r="R270" s="2">
        <f>AVERAGE(All_India_Index_Upto_April23__134[[#This Row],[Cereals and products]:[Prepared meals, snacks, sweets etc.]])</f>
        <v>156.69166666666669</v>
      </c>
    </row>
    <row r="271" spans="1:18" x14ac:dyDescent="0.25">
      <c r="A271" t="s">
        <v>35</v>
      </c>
      <c r="B271">
        <v>2020</v>
      </c>
      <c r="C271" t="s">
        <v>48</v>
      </c>
      <c r="D271">
        <v>148.4</v>
      </c>
      <c r="E271">
        <v>187.1</v>
      </c>
      <c r="F271">
        <v>152.5</v>
      </c>
      <c r="G271">
        <v>153.6</v>
      </c>
      <c r="H271">
        <v>138.19999999999999</v>
      </c>
      <c r="I271">
        <v>150.9</v>
      </c>
      <c r="J271">
        <v>186.7</v>
      </c>
      <c r="K271">
        <v>149.80000000000001</v>
      </c>
      <c r="L271">
        <v>116.4</v>
      </c>
      <c r="M271">
        <v>160.30000000000001</v>
      </c>
      <c r="N271">
        <v>142.19999999999999</v>
      </c>
      <c r="O271">
        <v>162.9</v>
      </c>
      <c r="P271">
        <v>158</v>
      </c>
      <c r="Q271" s="2">
        <f>AVERAGE(All_India_Index_Upto_April23__134[[#This Row],[Cereals and products]:[Food and beverages]])</f>
        <v>154.38461538461539</v>
      </c>
      <c r="R271" s="2">
        <f>AVERAGE(All_India_Index_Upto_April23__134[[#This Row],[Cereals and products]:[Prepared meals, snacks, sweets etc.]])</f>
        <v>154.08333333333334</v>
      </c>
    </row>
    <row r="272" spans="1:18" x14ac:dyDescent="0.25">
      <c r="A272" t="s">
        <v>30</v>
      </c>
      <c r="B272">
        <v>2020</v>
      </c>
      <c r="C272" t="s">
        <v>50</v>
      </c>
      <c r="D272">
        <v>146</v>
      </c>
      <c r="E272">
        <v>186.3</v>
      </c>
      <c r="F272">
        <v>159.19999999999999</v>
      </c>
      <c r="G272">
        <v>153.6</v>
      </c>
      <c r="H272">
        <v>142.6</v>
      </c>
      <c r="I272">
        <v>147.19999999999999</v>
      </c>
      <c r="J272">
        <v>200.6</v>
      </c>
      <c r="K272">
        <v>150.30000000000001</v>
      </c>
      <c r="L272">
        <v>115.3</v>
      </c>
      <c r="M272">
        <v>160.9</v>
      </c>
      <c r="N272">
        <v>147.4</v>
      </c>
      <c r="O272">
        <v>161.9</v>
      </c>
      <c r="P272">
        <v>159.6</v>
      </c>
      <c r="Q272" s="2">
        <f>AVERAGE(All_India_Index_Upto_April23__134[[#This Row],[Cereals and products]:[Food and beverages]])</f>
        <v>156.22307692307692</v>
      </c>
      <c r="R272" s="2">
        <f>AVERAGE(All_India_Index_Upto_April23__134[[#This Row],[Cereals and products]:[Prepared meals, snacks, sweets etc.]])</f>
        <v>155.94166666666669</v>
      </c>
    </row>
    <row r="273" spans="1:18" x14ac:dyDescent="0.25">
      <c r="A273" t="s">
        <v>33</v>
      </c>
      <c r="B273">
        <v>2020</v>
      </c>
      <c r="C273" t="s">
        <v>50</v>
      </c>
      <c r="D273">
        <v>150.6</v>
      </c>
      <c r="E273">
        <v>193.7</v>
      </c>
      <c r="F273">
        <v>164.8</v>
      </c>
      <c r="G273">
        <v>153.69999999999999</v>
      </c>
      <c r="H273">
        <v>135.69999999999999</v>
      </c>
      <c r="I273">
        <v>155.69999999999999</v>
      </c>
      <c r="J273">
        <v>226</v>
      </c>
      <c r="K273">
        <v>152.19999999999999</v>
      </c>
      <c r="L273">
        <v>118.1</v>
      </c>
      <c r="M273">
        <v>161.30000000000001</v>
      </c>
      <c r="N273">
        <v>139.19999999999999</v>
      </c>
      <c r="O273">
        <v>164.8</v>
      </c>
      <c r="P273">
        <v>164.4</v>
      </c>
      <c r="Q273" s="2">
        <f>AVERAGE(All_India_Index_Upto_April23__134[[#This Row],[Cereals and products]:[Food and beverages]])</f>
        <v>160.01538461538459</v>
      </c>
      <c r="R273" s="2">
        <f>AVERAGE(All_India_Index_Upto_April23__134[[#This Row],[Cereals and products]:[Prepared meals, snacks, sweets etc.]])</f>
        <v>159.65</v>
      </c>
    </row>
    <row r="274" spans="1:18" x14ac:dyDescent="0.25">
      <c r="A274" t="s">
        <v>35</v>
      </c>
      <c r="B274">
        <v>2020</v>
      </c>
      <c r="C274" t="s">
        <v>50</v>
      </c>
      <c r="D274">
        <v>147.5</v>
      </c>
      <c r="E274">
        <v>188.9</v>
      </c>
      <c r="F274">
        <v>161.4</v>
      </c>
      <c r="G274">
        <v>153.6</v>
      </c>
      <c r="H274">
        <v>140.1</v>
      </c>
      <c r="I274">
        <v>151.19999999999999</v>
      </c>
      <c r="J274">
        <v>209.2</v>
      </c>
      <c r="K274">
        <v>150.9</v>
      </c>
      <c r="L274">
        <v>116.2</v>
      </c>
      <c r="M274">
        <v>161</v>
      </c>
      <c r="N274">
        <v>144</v>
      </c>
      <c r="O274">
        <v>163.19999999999999</v>
      </c>
      <c r="P274">
        <v>161.4</v>
      </c>
      <c r="Q274" s="2">
        <f>AVERAGE(All_India_Index_Upto_April23__134[[#This Row],[Cereals and products]:[Food and beverages]])</f>
        <v>157.5846153846154</v>
      </c>
      <c r="R274" s="2">
        <f>AVERAGE(All_India_Index_Upto_April23__134[[#This Row],[Cereals and products]:[Prepared meals, snacks, sweets etc.]])</f>
        <v>157.26666666666668</v>
      </c>
    </row>
    <row r="275" spans="1:18" x14ac:dyDescent="0.25">
      <c r="A275" t="s">
        <v>30</v>
      </c>
      <c r="B275">
        <v>2020</v>
      </c>
      <c r="C275" t="s">
        <v>53</v>
      </c>
      <c r="D275">
        <v>145.4</v>
      </c>
      <c r="E275">
        <v>188.6</v>
      </c>
      <c r="F275">
        <v>171.6</v>
      </c>
      <c r="G275">
        <v>153.80000000000001</v>
      </c>
      <c r="H275">
        <v>145.4</v>
      </c>
      <c r="I275">
        <v>146.5</v>
      </c>
      <c r="J275">
        <v>222.2</v>
      </c>
      <c r="K275">
        <v>155.9</v>
      </c>
      <c r="L275">
        <v>114.9</v>
      </c>
      <c r="M275">
        <v>162</v>
      </c>
      <c r="N275">
        <v>150</v>
      </c>
      <c r="O275">
        <v>162.69999999999999</v>
      </c>
      <c r="P275">
        <v>163.4</v>
      </c>
      <c r="Q275" s="2">
        <f>AVERAGE(All_India_Index_Upto_April23__134[[#This Row],[Cereals and products]:[Food and beverages]])</f>
        <v>160.1846153846154</v>
      </c>
      <c r="R275" s="2">
        <f>AVERAGE(All_India_Index_Upto_April23__134[[#This Row],[Cereals and products]:[Prepared meals, snacks, sweets etc.]])</f>
        <v>159.91666666666669</v>
      </c>
    </row>
    <row r="276" spans="1:18" x14ac:dyDescent="0.25">
      <c r="A276" t="s">
        <v>33</v>
      </c>
      <c r="B276">
        <v>2020</v>
      </c>
      <c r="C276" t="s">
        <v>53</v>
      </c>
      <c r="D276">
        <v>149.69999999999999</v>
      </c>
      <c r="E276">
        <v>195.5</v>
      </c>
      <c r="F276">
        <v>176.9</v>
      </c>
      <c r="G276">
        <v>153.9</v>
      </c>
      <c r="H276">
        <v>138</v>
      </c>
      <c r="I276">
        <v>150.5</v>
      </c>
      <c r="J276">
        <v>245.3</v>
      </c>
      <c r="K276">
        <v>158.69999999999999</v>
      </c>
      <c r="L276">
        <v>117.2</v>
      </c>
      <c r="M276">
        <v>161.4</v>
      </c>
      <c r="N276">
        <v>141.5</v>
      </c>
      <c r="O276">
        <v>165.1</v>
      </c>
      <c r="P276">
        <v>167</v>
      </c>
      <c r="Q276" s="2">
        <f>AVERAGE(All_India_Index_Upto_April23__134[[#This Row],[Cereals and products]:[Food and beverages]])</f>
        <v>163.1307692307692</v>
      </c>
      <c r="R276" s="2">
        <f>AVERAGE(All_India_Index_Upto_April23__134[[#This Row],[Cereals and products]:[Prepared meals, snacks, sweets etc.]])</f>
        <v>162.80833333333334</v>
      </c>
    </row>
    <row r="277" spans="1:18" x14ac:dyDescent="0.25">
      <c r="A277" t="s">
        <v>35</v>
      </c>
      <c r="B277">
        <v>2020</v>
      </c>
      <c r="C277" t="s">
        <v>53</v>
      </c>
      <c r="D277">
        <v>146.80000000000001</v>
      </c>
      <c r="E277">
        <v>191</v>
      </c>
      <c r="F277">
        <v>173.6</v>
      </c>
      <c r="G277">
        <v>153.80000000000001</v>
      </c>
      <c r="H277">
        <v>142.69999999999999</v>
      </c>
      <c r="I277">
        <v>148.4</v>
      </c>
      <c r="J277">
        <v>230</v>
      </c>
      <c r="K277">
        <v>156.80000000000001</v>
      </c>
      <c r="L277">
        <v>115.7</v>
      </c>
      <c r="M277">
        <v>161.80000000000001</v>
      </c>
      <c r="N277">
        <v>146.5</v>
      </c>
      <c r="O277">
        <v>163.80000000000001</v>
      </c>
      <c r="P277">
        <v>164.7</v>
      </c>
      <c r="Q277" s="2">
        <f>AVERAGE(All_India_Index_Upto_April23__134[[#This Row],[Cereals and products]:[Food and beverages]])</f>
        <v>161.19999999999999</v>
      </c>
      <c r="R277" s="2">
        <f>AVERAGE(All_India_Index_Upto_April23__134[[#This Row],[Cereals and products]:[Prepared meals, snacks, sweets etc.]])</f>
        <v>160.90833333333333</v>
      </c>
    </row>
    <row r="278" spans="1:18" x14ac:dyDescent="0.25">
      <c r="A278" t="s">
        <v>30</v>
      </c>
      <c r="B278">
        <v>2020</v>
      </c>
      <c r="C278" t="s">
        <v>55</v>
      </c>
      <c r="D278">
        <v>144.6</v>
      </c>
      <c r="E278">
        <v>188.5</v>
      </c>
      <c r="F278">
        <v>173.4</v>
      </c>
      <c r="G278">
        <v>154</v>
      </c>
      <c r="H278">
        <v>150</v>
      </c>
      <c r="I278">
        <v>145.9</v>
      </c>
      <c r="J278">
        <v>225.2</v>
      </c>
      <c r="K278">
        <v>159.5</v>
      </c>
      <c r="L278">
        <v>114.4</v>
      </c>
      <c r="M278">
        <v>163.5</v>
      </c>
      <c r="N278">
        <v>153.4</v>
      </c>
      <c r="O278">
        <v>163.6</v>
      </c>
      <c r="P278">
        <v>164.5</v>
      </c>
      <c r="Q278" s="2">
        <f>AVERAGE(All_India_Index_Upto_April23__134[[#This Row],[Cereals and products]:[Food and beverages]])</f>
        <v>161.57692307692307</v>
      </c>
      <c r="R278" s="2">
        <f>AVERAGE(All_India_Index_Upto_April23__134[[#This Row],[Cereals and products]:[Prepared meals, snacks, sweets etc.]])</f>
        <v>161.33333333333334</v>
      </c>
    </row>
    <row r="279" spans="1:18" x14ac:dyDescent="0.25">
      <c r="A279" t="s">
        <v>33</v>
      </c>
      <c r="B279">
        <v>2020</v>
      </c>
      <c r="C279" t="s">
        <v>55</v>
      </c>
      <c r="D279">
        <v>149</v>
      </c>
      <c r="E279">
        <v>195.7</v>
      </c>
      <c r="F279">
        <v>178.3</v>
      </c>
      <c r="G279">
        <v>154.19999999999999</v>
      </c>
      <c r="H279">
        <v>140.69999999999999</v>
      </c>
      <c r="I279">
        <v>149.69999999999999</v>
      </c>
      <c r="J279">
        <v>240.9</v>
      </c>
      <c r="K279">
        <v>161.5</v>
      </c>
      <c r="L279">
        <v>117.1</v>
      </c>
      <c r="M279">
        <v>161.9</v>
      </c>
      <c r="N279">
        <v>143.30000000000001</v>
      </c>
      <c r="O279">
        <v>166.1</v>
      </c>
      <c r="P279">
        <v>167</v>
      </c>
      <c r="Q279" s="2">
        <f>AVERAGE(All_India_Index_Upto_April23__134[[#This Row],[Cereals and products]:[Food and beverages]])</f>
        <v>163.49230769230769</v>
      </c>
      <c r="R279" s="2">
        <f>AVERAGE(All_India_Index_Upto_April23__134[[#This Row],[Cereals and products]:[Prepared meals, snacks, sweets etc.]])</f>
        <v>163.20000000000002</v>
      </c>
    </row>
    <row r="280" spans="1:18" x14ac:dyDescent="0.25">
      <c r="A280" t="s">
        <v>35</v>
      </c>
      <c r="B280">
        <v>2020</v>
      </c>
      <c r="C280" t="s">
        <v>55</v>
      </c>
      <c r="D280">
        <v>146</v>
      </c>
      <c r="E280">
        <v>191</v>
      </c>
      <c r="F280">
        <v>175.3</v>
      </c>
      <c r="G280">
        <v>154.1</v>
      </c>
      <c r="H280">
        <v>146.6</v>
      </c>
      <c r="I280">
        <v>147.69999999999999</v>
      </c>
      <c r="J280">
        <v>230.5</v>
      </c>
      <c r="K280">
        <v>160.19999999999999</v>
      </c>
      <c r="L280">
        <v>115.3</v>
      </c>
      <c r="M280">
        <v>163</v>
      </c>
      <c r="N280">
        <v>149.19999999999999</v>
      </c>
      <c r="O280">
        <v>164.8</v>
      </c>
      <c r="P280">
        <v>165.4</v>
      </c>
      <c r="Q280" s="2">
        <f>AVERAGE(All_India_Index_Upto_April23__134[[#This Row],[Cereals and products]:[Food and beverages]])</f>
        <v>162.23846153846154</v>
      </c>
      <c r="R280" s="2">
        <f>AVERAGE(All_India_Index_Upto_April23__134[[#This Row],[Cereals and products]:[Prepared meals, snacks, sweets etc.]])</f>
        <v>161.97499999999999</v>
      </c>
    </row>
    <row r="281" spans="1:18" x14ac:dyDescent="0.25">
      <c r="A281" t="s">
        <v>30</v>
      </c>
      <c r="B281">
        <v>2021</v>
      </c>
      <c r="C281" t="s">
        <v>31</v>
      </c>
      <c r="D281">
        <v>143.4</v>
      </c>
      <c r="E281">
        <v>187.5</v>
      </c>
      <c r="F281">
        <v>173.4</v>
      </c>
      <c r="G281">
        <v>154</v>
      </c>
      <c r="H281">
        <v>154.80000000000001</v>
      </c>
      <c r="I281">
        <v>147</v>
      </c>
      <c r="J281">
        <v>187.8</v>
      </c>
      <c r="K281">
        <v>159.5</v>
      </c>
      <c r="L281">
        <v>113.8</v>
      </c>
      <c r="M281">
        <v>164.5</v>
      </c>
      <c r="N281">
        <v>156.1</v>
      </c>
      <c r="O281">
        <v>164.3</v>
      </c>
      <c r="P281">
        <v>159.6</v>
      </c>
      <c r="Q281" s="2">
        <f>AVERAGE(All_India_Index_Upto_April23__134[[#This Row],[Cereals and products]:[Food and beverages]])</f>
        <v>158.89999999999998</v>
      </c>
      <c r="R281" s="2">
        <f>AVERAGE(All_India_Index_Upto_April23__134[[#This Row],[Cereals and products]:[Prepared meals, snacks, sweets etc.]])</f>
        <v>158.84166666666664</v>
      </c>
    </row>
    <row r="282" spans="1:18" x14ac:dyDescent="0.25">
      <c r="A282" t="s">
        <v>33</v>
      </c>
      <c r="B282">
        <v>2021</v>
      </c>
      <c r="C282" t="s">
        <v>31</v>
      </c>
      <c r="D282">
        <v>148</v>
      </c>
      <c r="E282">
        <v>194.8</v>
      </c>
      <c r="F282">
        <v>178.4</v>
      </c>
      <c r="G282">
        <v>154.4</v>
      </c>
      <c r="H282">
        <v>144.1</v>
      </c>
      <c r="I282">
        <v>152.6</v>
      </c>
      <c r="J282">
        <v>206.8</v>
      </c>
      <c r="K282">
        <v>162.1</v>
      </c>
      <c r="L282">
        <v>116.3</v>
      </c>
      <c r="M282">
        <v>163</v>
      </c>
      <c r="N282">
        <v>145.9</v>
      </c>
      <c r="O282">
        <v>167.2</v>
      </c>
      <c r="P282">
        <v>163.4</v>
      </c>
      <c r="Q282" s="2">
        <f>AVERAGE(All_India_Index_Upto_April23__134[[#This Row],[Cereals and products]:[Food and beverages]])</f>
        <v>161.30769230769232</v>
      </c>
      <c r="R282" s="2">
        <f>AVERAGE(All_India_Index_Upto_April23__134[[#This Row],[Cereals and products]:[Prepared meals, snacks, sweets etc.]])</f>
        <v>161.13333333333335</v>
      </c>
    </row>
    <row r="283" spans="1:18" x14ac:dyDescent="0.25">
      <c r="A283" t="s">
        <v>35</v>
      </c>
      <c r="B283">
        <v>2021</v>
      </c>
      <c r="C283" t="s">
        <v>31</v>
      </c>
      <c r="D283">
        <v>144.9</v>
      </c>
      <c r="E283">
        <v>190.1</v>
      </c>
      <c r="F283">
        <v>175.3</v>
      </c>
      <c r="G283">
        <v>154.1</v>
      </c>
      <c r="H283">
        <v>150.9</v>
      </c>
      <c r="I283">
        <v>149.6</v>
      </c>
      <c r="J283">
        <v>194.2</v>
      </c>
      <c r="K283">
        <v>160.4</v>
      </c>
      <c r="L283">
        <v>114.6</v>
      </c>
      <c r="M283">
        <v>164</v>
      </c>
      <c r="N283">
        <v>151.80000000000001</v>
      </c>
      <c r="O283">
        <v>165.6</v>
      </c>
      <c r="P283">
        <v>161</v>
      </c>
      <c r="Q283" s="2">
        <f>AVERAGE(All_India_Index_Upto_April23__134[[#This Row],[Cereals and products]:[Food and beverages]])</f>
        <v>159.73076923076923</v>
      </c>
      <c r="R283" s="2">
        <f>AVERAGE(All_India_Index_Upto_April23__134[[#This Row],[Cereals and products]:[Prepared meals, snacks, sweets etc.]])</f>
        <v>159.62499999999997</v>
      </c>
    </row>
    <row r="284" spans="1:18" x14ac:dyDescent="0.25">
      <c r="A284" t="s">
        <v>30</v>
      </c>
      <c r="B284">
        <v>2021</v>
      </c>
      <c r="C284" t="s">
        <v>36</v>
      </c>
      <c r="D284">
        <v>142.80000000000001</v>
      </c>
      <c r="E284">
        <v>184</v>
      </c>
      <c r="F284">
        <v>168</v>
      </c>
      <c r="G284">
        <v>154.4</v>
      </c>
      <c r="H284">
        <v>163</v>
      </c>
      <c r="I284">
        <v>147.80000000000001</v>
      </c>
      <c r="J284">
        <v>149.69999999999999</v>
      </c>
      <c r="K284">
        <v>158.30000000000001</v>
      </c>
      <c r="L284">
        <v>111.8</v>
      </c>
      <c r="M284">
        <v>165</v>
      </c>
      <c r="N284">
        <v>160</v>
      </c>
      <c r="O284">
        <v>165.8</v>
      </c>
      <c r="P284">
        <v>154.69999999999999</v>
      </c>
      <c r="Q284" s="2">
        <f>AVERAGE(All_India_Index_Upto_April23__134[[#This Row],[Cereals and products]:[Food and beverages]])</f>
        <v>155.7923076923077</v>
      </c>
      <c r="R284" s="2">
        <f>AVERAGE(All_India_Index_Upto_April23__134[[#This Row],[Cereals and products]:[Prepared meals, snacks, sweets etc.]])</f>
        <v>155.88333333333333</v>
      </c>
    </row>
    <row r="285" spans="1:18" x14ac:dyDescent="0.25">
      <c r="A285" t="s">
        <v>33</v>
      </c>
      <c r="B285">
        <v>2021</v>
      </c>
      <c r="C285" t="s">
        <v>36</v>
      </c>
      <c r="D285">
        <v>147.6</v>
      </c>
      <c r="E285">
        <v>191.2</v>
      </c>
      <c r="F285">
        <v>169.9</v>
      </c>
      <c r="G285">
        <v>155.1</v>
      </c>
      <c r="H285">
        <v>151.4</v>
      </c>
      <c r="I285">
        <v>154</v>
      </c>
      <c r="J285">
        <v>180.2</v>
      </c>
      <c r="K285">
        <v>159.80000000000001</v>
      </c>
      <c r="L285">
        <v>114.9</v>
      </c>
      <c r="M285">
        <v>162.5</v>
      </c>
      <c r="N285">
        <v>149.19999999999999</v>
      </c>
      <c r="O285">
        <v>169.4</v>
      </c>
      <c r="P285">
        <v>160.80000000000001</v>
      </c>
      <c r="Q285" s="2">
        <f>AVERAGE(All_India_Index_Upto_April23__134[[#This Row],[Cereals and products]:[Food and beverages]])</f>
        <v>158.92307692307693</v>
      </c>
      <c r="R285" s="2">
        <f>AVERAGE(All_India_Index_Upto_April23__134[[#This Row],[Cereals and products]:[Prepared meals, snacks, sweets etc.]])</f>
        <v>158.76666666666668</v>
      </c>
    </row>
    <row r="286" spans="1:18" x14ac:dyDescent="0.25">
      <c r="A286" t="s">
        <v>35</v>
      </c>
      <c r="B286">
        <v>2021</v>
      </c>
      <c r="C286" t="s">
        <v>36</v>
      </c>
      <c r="D286">
        <v>144.30000000000001</v>
      </c>
      <c r="E286">
        <v>186.5</v>
      </c>
      <c r="F286">
        <v>168.7</v>
      </c>
      <c r="G286">
        <v>154.69999999999999</v>
      </c>
      <c r="H286">
        <v>158.69999999999999</v>
      </c>
      <c r="I286">
        <v>150.69999999999999</v>
      </c>
      <c r="J286">
        <v>160</v>
      </c>
      <c r="K286">
        <v>158.80000000000001</v>
      </c>
      <c r="L286">
        <v>112.8</v>
      </c>
      <c r="M286">
        <v>164.2</v>
      </c>
      <c r="N286">
        <v>155.5</v>
      </c>
      <c r="O286">
        <v>167.5</v>
      </c>
      <c r="P286">
        <v>156.9</v>
      </c>
      <c r="Q286" s="2">
        <f>AVERAGE(All_India_Index_Upto_April23__134[[#This Row],[Cereals and products]:[Food and beverages]])</f>
        <v>156.8692307692308</v>
      </c>
      <c r="R286" s="2">
        <f>AVERAGE(All_India_Index_Upto_April23__134[[#This Row],[Cereals and products]:[Prepared meals, snacks, sweets etc.]])</f>
        <v>156.86666666666667</v>
      </c>
    </row>
    <row r="287" spans="1:18" x14ac:dyDescent="0.25">
      <c r="A287" t="s">
        <v>30</v>
      </c>
      <c r="B287">
        <v>2021</v>
      </c>
      <c r="C287" t="s">
        <v>38</v>
      </c>
      <c r="D287">
        <v>142.5</v>
      </c>
      <c r="E287">
        <v>189.4</v>
      </c>
      <c r="F287">
        <v>163.19999999999999</v>
      </c>
      <c r="G287">
        <v>154.5</v>
      </c>
      <c r="H287">
        <v>168.2</v>
      </c>
      <c r="I287">
        <v>150.5</v>
      </c>
      <c r="J287">
        <v>141</v>
      </c>
      <c r="K287">
        <v>159.19999999999999</v>
      </c>
      <c r="L287">
        <v>111.7</v>
      </c>
      <c r="M287">
        <v>164</v>
      </c>
      <c r="N287">
        <v>160.6</v>
      </c>
      <c r="O287">
        <v>166.4</v>
      </c>
      <c r="P287">
        <v>154.5</v>
      </c>
      <c r="Q287" s="2">
        <f>AVERAGE(All_India_Index_Upto_April23__134[[#This Row],[Cereals and products]:[Food and beverages]])</f>
        <v>155.82307692307694</v>
      </c>
      <c r="R287" s="2">
        <f>AVERAGE(All_India_Index_Upto_April23__134[[#This Row],[Cereals and products]:[Prepared meals, snacks, sweets etc.]])</f>
        <v>155.93333333333334</v>
      </c>
    </row>
    <row r="288" spans="1:18" x14ac:dyDescent="0.25">
      <c r="A288" t="s">
        <v>33</v>
      </c>
      <c r="B288">
        <v>2021</v>
      </c>
      <c r="C288" t="s">
        <v>38</v>
      </c>
      <c r="D288">
        <v>147.5</v>
      </c>
      <c r="E288">
        <v>197.5</v>
      </c>
      <c r="F288">
        <v>164.7</v>
      </c>
      <c r="G288">
        <v>155.6</v>
      </c>
      <c r="H288">
        <v>156.4</v>
      </c>
      <c r="I288">
        <v>157.30000000000001</v>
      </c>
      <c r="J288">
        <v>166.1</v>
      </c>
      <c r="K288">
        <v>161.1</v>
      </c>
      <c r="L288">
        <v>114.3</v>
      </c>
      <c r="M288">
        <v>162.6</v>
      </c>
      <c r="N288">
        <v>150.69999999999999</v>
      </c>
      <c r="O288">
        <v>170.3</v>
      </c>
      <c r="P288">
        <v>160.4</v>
      </c>
      <c r="Q288" s="2">
        <f>AVERAGE(All_India_Index_Upto_April23__134[[#This Row],[Cereals and products]:[Food and beverages]])</f>
        <v>158.80769230769226</v>
      </c>
      <c r="R288" s="2">
        <f>AVERAGE(All_India_Index_Upto_April23__134[[#This Row],[Cereals and products]:[Prepared meals, snacks, sweets etc.]])</f>
        <v>158.67499999999998</v>
      </c>
    </row>
    <row r="289" spans="1:18" x14ac:dyDescent="0.25">
      <c r="A289" t="s">
        <v>35</v>
      </c>
      <c r="B289">
        <v>2021</v>
      </c>
      <c r="C289" t="s">
        <v>38</v>
      </c>
      <c r="D289">
        <v>144.1</v>
      </c>
      <c r="E289">
        <v>192.2</v>
      </c>
      <c r="F289">
        <v>163.80000000000001</v>
      </c>
      <c r="G289">
        <v>154.9</v>
      </c>
      <c r="H289">
        <v>163.9</v>
      </c>
      <c r="I289">
        <v>153.69999999999999</v>
      </c>
      <c r="J289">
        <v>149.5</v>
      </c>
      <c r="K289">
        <v>159.80000000000001</v>
      </c>
      <c r="L289">
        <v>112.6</v>
      </c>
      <c r="M289">
        <v>163.5</v>
      </c>
      <c r="N289">
        <v>156.5</v>
      </c>
      <c r="O289">
        <v>168.2</v>
      </c>
      <c r="P289">
        <v>156.69999999999999</v>
      </c>
      <c r="Q289" s="2">
        <f>AVERAGE(All_India_Index_Upto_April23__134[[#This Row],[Cereals and products]:[Food and beverages]])</f>
        <v>156.87692307692308</v>
      </c>
      <c r="R289" s="2">
        <f>AVERAGE(All_India_Index_Upto_April23__134[[#This Row],[Cereals and products]:[Prepared meals, snacks, sweets etc.]])</f>
        <v>156.89166666666665</v>
      </c>
    </row>
    <row r="290" spans="1:18" x14ac:dyDescent="0.25">
      <c r="A290" t="s">
        <v>30</v>
      </c>
      <c r="B290">
        <v>2021</v>
      </c>
      <c r="C290" t="s">
        <v>39</v>
      </c>
      <c r="D290">
        <v>142.69999999999999</v>
      </c>
      <c r="E290">
        <v>195.5</v>
      </c>
      <c r="F290">
        <v>163.4</v>
      </c>
      <c r="G290">
        <v>155</v>
      </c>
      <c r="H290">
        <v>175.2</v>
      </c>
      <c r="I290">
        <v>160.6</v>
      </c>
      <c r="J290">
        <v>135.1</v>
      </c>
      <c r="K290">
        <v>161.1</v>
      </c>
      <c r="L290">
        <v>112.2</v>
      </c>
      <c r="M290">
        <v>164.4</v>
      </c>
      <c r="N290">
        <v>161.9</v>
      </c>
      <c r="O290">
        <v>166.8</v>
      </c>
      <c r="P290">
        <v>155.6</v>
      </c>
      <c r="Q290" s="2">
        <f>AVERAGE(All_India_Index_Upto_April23__134[[#This Row],[Cereals and products]:[Food and beverages]])</f>
        <v>157.65384615384616</v>
      </c>
      <c r="R290" s="2">
        <f>AVERAGE(All_India_Index_Upto_April23__134[[#This Row],[Cereals and products]:[Prepared meals, snacks, sweets etc.]])</f>
        <v>157.82500000000002</v>
      </c>
    </row>
    <row r="291" spans="1:18" x14ac:dyDescent="0.25">
      <c r="A291" t="s">
        <v>33</v>
      </c>
      <c r="B291">
        <v>2021</v>
      </c>
      <c r="C291" t="s">
        <v>39</v>
      </c>
      <c r="D291">
        <v>147.6</v>
      </c>
      <c r="E291">
        <v>202.5</v>
      </c>
      <c r="F291">
        <v>166.4</v>
      </c>
      <c r="G291">
        <v>156</v>
      </c>
      <c r="H291">
        <v>161.4</v>
      </c>
      <c r="I291">
        <v>168.8</v>
      </c>
      <c r="J291">
        <v>161.6</v>
      </c>
      <c r="K291">
        <v>162.80000000000001</v>
      </c>
      <c r="L291">
        <v>114.8</v>
      </c>
      <c r="M291">
        <v>162.80000000000001</v>
      </c>
      <c r="N291">
        <v>151.5</v>
      </c>
      <c r="O291">
        <v>171.4</v>
      </c>
      <c r="P291">
        <v>162</v>
      </c>
      <c r="Q291" s="2">
        <f>AVERAGE(All_India_Index_Upto_April23__134[[#This Row],[Cereals and products]:[Food and beverages]])</f>
        <v>160.73846153846154</v>
      </c>
      <c r="R291" s="2">
        <f>AVERAGE(All_India_Index_Upto_April23__134[[#This Row],[Cereals and products]:[Prepared meals, snacks, sweets etc.]])</f>
        <v>160.63333333333333</v>
      </c>
    </row>
    <row r="292" spans="1:18" x14ac:dyDescent="0.25">
      <c r="A292" t="s">
        <v>35</v>
      </c>
      <c r="B292">
        <v>2021</v>
      </c>
      <c r="C292" t="s">
        <v>39</v>
      </c>
      <c r="D292">
        <v>144.30000000000001</v>
      </c>
      <c r="E292">
        <v>198</v>
      </c>
      <c r="F292">
        <v>164.6</v>
      </c>
      <c r="G292">
        <v>155.4</v>
      </c>
      <c r="H292">
        <v>170.1</v>
      </c>
      <c r="I292">
        <v>164.4</v>
      </c>
      <c r="J292">
        <v>144.1</v>
      </c>
      <c r="K292">
        <v>161.69999999999999</v>
      </c>
      <c r="L292">
        <v>113.1</v>
      </c>
      <c r="M292">
        <v>163.9</v>
      </c>
      <c r="N292">
        <v>157.6</v>
      </c>
      <c r="O292">
        <v>168.9</v>
      </c>
      <c r="P292">
        <v>158</v>
      </c>
      <c r="Q292" s="2">
        <f>AVERAGE(All_India_Index_Upto_April23__134[[#This Row],[Cereals and products]:[Food and beverages]])</f>
        <v>158.77692307692308</v>
      </c>
      <c r="R292" s="2">
        <f>AVERAGE(All_India_Index_Upto_April23__134[[#This Row],[Cereals and products]:[Prepared meals, snacks, sweets etc.]])</f>
        <v>158.84166666666667</v>
      </c>
    </row>
    <row r="293" spans="1:18" x14ac:dyDescent="0.25">
      <c r="A293" t="s">
        <v>30</v>
      </c>
      <c r="B293">
        <v>2021</v>
      </c>
      <c r="C293" t="s">
        <v>41</v>
      </c>
      <c r="D293">
        <v>145.1</v>
      </c>
      <c r="E293">
        <v>198.5</v>
      </c>
      <c r="F293">
        <v>168.6</v>
      </c>
      <c r="G293">
        <v>155.80000000000001</v>
      </c>
      <c r="H293">
        <v>184.4</v>
      </c>
      <c r="I293">
        <v>162.30000000000001</v>
      </c>
      <c r="J293">
        <v>138.4</v>
      </c>
      <c r="K293">
        <v>165.1</v>
      </c>
      <c r="L293">
        <v>114.3</v>
      </c>
      <c r="M293">
        <v>169.7</v>
      </c>
      <c r="N293">
        <v>164.6</v>
      </c>
      <c r="O293">
        <v>169.8</v>
      </c>
      <c r="P293">
        <v>158.69999999999999</v>
      </c>
      <c r="Q293" s="2">
        <f>AVERAGE(All_India_Index_Upto_April23__134[[#This Row],[Cereals and products]:[Food and beverages]])</f>
        <v>161.17692307692306</v>
      </c>
      <c r="R293" s="2">
        <f>AVERAGE(All_India_Index_Upto_April23__134[[#This Row],[Cereals and products]:[Prepared meals, snacks, sweets etc.]])</f>
        <v>161.38333333333333</v>
      </c>
    </row>
    <row r="294" spans="1:18" x14ac:dyDescent="0.25">
      <c r="A294" t="s">
        <v>33</v>
      </c>
      <c r="B294">
        <v>2021</v>
      </c>
      <c r="C294" t="s">
        <v>41</v>
      </c>
      <c r="D294">
        <v>148.80000000000001</v>
      </c>
      <c r="E294">
        <v>204.3</v>
      </c>
      <c r="F294">
        <v>173</v>
      </c>
      <c r="G294">
        <v>156.5</v>
      </c>
      <c r="H294">
        <v>168.8</v>
      </c>
      <c r="I294">
        <v>172.5</v>
      </c>
      <c r="J294">
        <v>166.5</v>
      </c>
      <c r="K294">
        <v>165.9</v>
      </c>
      <c r="L294">
        <v>115.9</v>
      </c>
      <c r="M294">
        <v>165.2</v>
      </c>
      <c r="N294">
        <v>152</v>
      </c>
      <c r="O294">
        <v>171.1</v>
      </c>
      <c r="P294">
        <v>164.2</v>
      </c>
      <c r="Q294" s="2">
        <f>AVERAGE(All_India_Index_Upto_April23__134[[#This Row],[Cereals and products]:[Food and beverages]])</f>
        <v>163.43846153846155</v>
      </c>
      <c r="R294" s="2">
        <f>AVERAGE(All_India_Index_Upto_April23__134[[#This Row],[Cereals and products]:[Prepared meals, snacks, sweets etc.]])</f>
        <v>163.37500000000003</v>
      </c>
    </row>
    <row r="295" spans="1:18" x14ac:dyDescent="0.25">
      <c r="A295" t="s">
        <v>35</v>
      </c>
      <c r="B295">
        <v>2021</v>
      </c>
      <c r="C295" t="s">
        <v>41</v>
      </c>
      <c r="D295">
        <v>146.30000000000001</v>
      </c>
      <c r="E295">
        <v>200.5</v>
      </c>
      <c r="F295">
        <v>170.3</v>
      </c>
      <c r="G295">
        <v>156.1</v>
      </c>
      <c r="H295">
        <v>178.7</v>
      </c>
      <c r="I295">
        <v>167.1</v>
      </c>
      <c r="J295">
        <v>147.9</v>
      </c>
      <c r="K295">
        <v>165.4</v>
      </c>
      <c r="L295">
        <v>114.8</v>
      </c>
      <c r="M295">
        <v>168.2</v>
      </c>
      <c r="N295">
        <v>159.30000000000001</v>
      </c>
      <c r="O295">
        <v>170.4</v>
      </c>
      <c r="P295">
        <v>160.69999999999999</v>
      </c>
      <c r="Q295" s="2">
        <f>AVERAGE(All_India_Index_Upto_April23__134[[#This Row],[Cereals and products]:[Food and beverages]])</f>
        <v>161.9769230769231</v>
      </c>
      <c r="R295" s="2">
        <f>AVERAGE(All_India_Index_Upto_April23__134[[#This Row],[Cereals and products]:[Prepared meals, snacks, sweets etc.]])</f>
        <v>162.08333333333334</v>
      </c>
    </row>
    <row r="296" spans="1:18" x14ac:dyDescent="0.25">
      <c r="A296" t="s">
        <v>30</v>
      </c>
      <c r="B296">
        <v>2021</v>
      </c>
      <c r="C296" t="s">
        <v>42</v>
      </c>
      <c r="D296">
        <v>145.6</v>
      </c>
      <c r="E296">
        <v>200.1</v>
      </c>
      <c r="F296">
        <v>179.3</v>
      </c>
      <c r="G296">
        <v>156.1</v>
      </c>
      <c r="H296">
        <v>190.4</v>
      </c>
      <c r="I296">
        <v>158.6</v>
      </c>
      <c r="J296">
        <v>144.69999999999999</v>
      </c>
      <c r="K296">
        <v>165.5</v>
      </c>
      <c r="L296">
        <v>114.6</v>
      </c>
      <c r="M296">
        <v>170</v>
      </c>
      <c r="N296">
        <v>165.5</v>
      </c>
      <c r="O296">
        <v>171.7</v>
      </c>
      <c r="P296">
        <v>160.5</v>
      </c>
      <c r="Q296" s="2">
        <f>AVERAGE(All_India_Index_Upto_April23__134[[#This Row],[Cereals and products]:[Food and beverages]])</f>
        <v>163.27692307692308</v>
      </c>
      <c r="R296" s="2">
        <f>AVERAGE(All_India_Index_Upto_April23__134[[#This Row],[Cereals and products]:[Prepared meals, snacks, sweets etc.]])</f>
        <v>163.50833333333333</v>
      </c>
    </row>
    <row r="297" spans="1:18" x14ac:dyDescent="0.25">
      <c r="A297" t="s">
        <v>33</v>
      </c>
      <c r="B297">
        <v>2021</v>
      </c>
      <c r="C297" t="s">
        <v>42</v>
      </c>
      <c r="D297">
        <v>149.19999999999999</v>
      </c>
      <c r="E297">
        <v>205.5</v>
      </c>
      <c r="F297">
        <v>182.8</v>
      </c>
      <c r="G297">
        <v>156.5</v>
      </c>
      <c r="H297">
        <v>172.2</v>
      </c>
      <c r="I297">
        <v>171.5</v>
      </c>
      <c r="J297">
        <v>176.2</v>
      </c>
      <c r="K297">
        <v>166.9</v>
      </c>
      <c r="L297">
        <v>116.1</v>
      </c>
      <c r="M297">
        <v>165.5</v>
      </c>
      <c r="N297">
        <v>152.30000000000001</v>
      </c>
      <c r="O297">
        <v>173.3</v>
      </c>
      <c r="P297">
        <v>166.2</v>
      </c>
      <c r="Q297" s="2">
        <f>AVERAGE(All_India_Index_Upto_April23__134[[#This Row],[Cereals and products]:[Food and beverages]])</f>
        <v>165.7076923076923</v>
      </c>
      <c r="R297" s="2">
        <f>AVERAGE(All_India_Index_Upto_April23__134[[#This Row],[Cereals and products]:[Prepared meals, snacks, sweets etc.]])</f>
        <v>165.66666666666666</v>
      </c>
    </row>
    <row r="298" spans="1:18" x14ac:dyDescent="0.25">
      <c r="A298" t="s">
        <v>35</v>
      </c>
      <c r="B298">
        <v>2021</v>
      </c>
      <c r="C298" t="s">
        <v>42</v>
      </c>
      <c r="D298">
        <v>146.69999999999999</v>
      </c>
      <c r="E298">
        <v>202</v>
      </c>
      <c r="F298">
        <v>180.7</v>
      </c>
      <c r="G298">
        <v>156.19999999999999</v>
      </c>
      <c r="H298">
        <v>183.7</v>
      </c>
      <c r="I298">
        <v>164.6</v>
      </c>
      <c r="J298">
        <v>155.4</v>
      </c>
      <c r="K298">
        <v>166</v>
      </c>
      <c r="L298">
        <v>115.1</v>
      </c>
      <c r="M298">
        <v>168.5</v>
      </c>
      <c r="N298">
        <v>160</v>
      </c>
      <c r="O298">
        <v>172.4</v>
      </c>
      <c r="P298">
        <v>162.6</v>
      </c>
      <c r="Q298" s="2">
        <f>AVERAGE(All_India_Index_Upto_April23__134[[#This Row],[Cereals and products]:[Food and beverages]])</f>
        <v>164.14615384615385</v>
      </c>
      <c r="R298" s="2">
        <f>AVERAGE(All_India_Index_Upto_April23__134[[#This Row],[Cereals and products]:[Prepared meals, snacks, sweets etc.]])</f>
        <v>164.27500000000001</v>
      </c>
    </row>
    <row r="299" spans="1:18" x14ac:dyDescent="0.25">
      <c r="A299" t="s">
        <v>30</v>
      </c>
      <c r="B299">
        <v>2021</v>
      </c>
      <c r="C299" t="s">
        <v>44</v>
      </c>
      <c r="D299">
        <v>145.1</v>
      </c>
      <c r="E299">
        <v>204.5</v>
      </c>
      <c r="F299">
        <v>180.4</v>
      </c>
      <c r="G299">
        <v>157.1</v>
      </c>
      <c r="H299">
        <v>188.7</v>
      </c>
      <c r="I299">
        <v>157.69999999999999</v>
      </c>
      <c r="J299">
        <v>152.80000000000001</v>
      </c>
      <c r="K299">
        <v>163.6</v>
      </c>
      <c r="L299">
        <v>113.9</v>
      </c>
      <c r="M299">
        <v>169.7</v>
      </c>
      <c r="N299">
        <v>166.2</v>
      </c>
      <c r="O299">
        <v>171</v>
      </c>
      <c r="P299">
        <v>161.69999999999999</v>
      </c>
      <c r="Q299" s="2">
        <f>AVERAGE(All_India_Index_Upto_April23__134[[#This Row],[Cereals and products]:[Food and beverages]])</f>
        <v>164.03076923076924</v>
      </c>
      <c r="R299" s="2">
        <f>AVERAGE(All_India_Index_Upto_April23__134[[#This Row],[Cereals and products]:[Prepared meals, snacks, sweets etc.]])</f>
        <v>164.22499999999999</v>
      </c>
    </row>
    <row r="300" spans="1:18" x14ac:dyDescent="0.25">
      <c r="A300" t="s">
        <v>33</v>
      </c>
      <c r="B300">
        <v>2021</v>
      </c>
      <c r="C300" t="s">
        <v>44</v>
      </c>
      <c r="D300">
        <v>149.1</v>
      </c>
      <c r="E300">
        <v>210.9</v>
      </c>
      <c r="F300">
        <v>185</v>
      </c>
      <c r="G300">
        <v>158.19999999999999</v>
      </c>
      <c r="H300">
        <v>170.6</v>
      </c>
      <c r="I300">
        <v>170.9</v>
      </c>
      <c r="J300">
        <v>186.4</v>
      </c>
      <c r="K300">
        <v>164.7</v>
      </c>
      <c r="L300">
        <v>115.7</v>
      </c>
      <c r="M300">
        <v>165.5</v>
      </c>
      <c r="N300">
        <v>153.4</v>
      </c>
      <c r="O300">
        <v>173.5</v>
      </c>
      <c r="P300">
        <v>167.9</v>
      </c>
      <c r="Q300" s="2">
        <f>AVERAGE(All_India_Index_Upto_April23__134[[#This Row],[Cereals and products]:[Food and beverages]])</f>
        <v>167.06153846153848</v>
      </c>
      <c r="R300" s="2">
        <f>AVERAGE(All_India_Index_Upto_April23__134[[#This Row],[Cereals and products]:[Prepared meals, snacks, sweets etc.]])</f>
        <v>166.9916666666667</v>
      </c>
    </row>
    <row r="301" spans="1:18" x14ac:dyDescent="0.25">
      <c r="A301" t="s">
        <v>35</v>
      </c>
      <c r="B301">
        <v>2021</v>
      </c>
      <c r="C301" t="s">
        <v>44</v>
      </c>
      <c r="D301">
        <v>146.4</v>
      </c>
      <c r="E301">
        <v>206.8</v>
      </c>
      <c r="F301">
        <v>182.2</v>
      </c>
      <c r="G301">
        <v>157.5</v>
      </c>
      <c r="H301">
        <v>182.1</v>
      </c>
      <c r="I301">
        <v>163.9</v>
      </c>
      <c r="J301">
        <v>164.2</v>
      </c>
      <c r="K301">
        <v>164</v>
      </c>
      <c r="L301">
        <v>114.5</v>
      </c>
      <c r="M301">
        <v>168.3</v>
      </c>
      <c r="N301">
        <v>160.9</v>
      </c>
      <c r="O301">
        <v>172.2</v>
      </c>
      <c r="P301">
        <v>164</v>
      </c>
      <c r="Q301" s="2">
        <f>AVERAGE(All_India_Index_Upto_April23__134[[#This Row],[Cereals and products]:[Food and beverages]])</f>
        <v>165.15384615384616</v>
      </c>
      <c r="R301" s="2">
        <f>AVERAGE(All_India_Index_Upto_April23__134[[#This Row],[Cereals and products]:[Prepared meals, snacks, sweets etc.]])</f>
        <v>165.25000000000003</v>
      </c>
    </row>
    <row r="302" spans="1:18" x14ac:dyDescent="0.25">
      <c r="A302" t="s">
        <v>30</v>
      </c>
      <c r="B302">
        <v>2021</v>
      </c>
      <c r="C302" t="s">
        <v>46</v>
      </c>
      <c r="D302">
        <v>144.9</v>
      </c>
      <c r="E302">
        <v>202.3</v>
      </c>
      <c r="F302">
        <v>176.5</v>
      </c>
      <c r="G302">
        <v>157.5</v>
      </c>
      <c r="H302">
        <v>190.9</v>
      </c>
      <c r="I302">
        <v>155.69999999999999</v>
      </c>
      <c r="J302">
        <v>153.9</v>
      </c>
      <c r="K302">
        <v>162.80000000000001</v>
      </c>
      <c r="L302">
        <v>115.2</v>
      </c>
      <c r="M302">
        <v>169.8</v>
      </c>
      <c r="N302">
        <v>167.6</v>
      </c>
      <c r="O302">
        <v>171.9</v>
      </c>
      <c r="P302">
        <v>161.80000000000001</v>
      </c>
      <c r="Q302" s="2">
        <f>AVERAGE(All_India_Index_Upto_April23__134[[#This Row],[Cereals and products]:[Food and beverages]])</f>
        <v>163.90769230769232</v>
      </c>
      <c r="R302" s="2">
        <f>AVERAGE(All_India_Index_Upto_April23__134[[#This Row],[Cereals and products]:[Prepared meals, snacks, sweets etc.]])</f>
        <v>164.08333333333334</v>
      </c>
    </row>
    <row r="303" spans="1:18" x14ac:dyDescent="0.25">
      <c r="A303" t="s">
        <v>33</v>
      </c>
      <c r="B303">
        <v>2021</v>
      </c>
      <c r="C303" t="s">
        <v>46</v>
      </c>
      <c r="D303">
        <v>149.30000000000001</v>
      </c>
      <c r="E303">
        <v>207.4</v>
      </c>
      <c r="F303">
        <v>174.1</v>
      </c>
      <c r="G303">
        <v>159.19999999999999</v>
      </c>
      <c r="H303">
        <v>175</v>
      </c>
      <c r="I303">
        <v>161.30000000000001</v>
      </c>
      <c r="J303">
        <v>183.3</v>
      </c>
      <c r="K303">
        <v>164.5</v>
      </c>
      <c r="L303">
        <v>120.4</v>
      </c>
      <c r="M303">
        <v>166.2</v>
      </c>
      <c r="N303">
        <v>154.80000000000001</v>
      </c>
      <c r="O303">
        <v>175.1</v>
      </c>
      <c r="P303">
        <v>167.3</v>
      </c>
      <c r="Q303" s="2">
        <f>AVERAGE(All_India_Index_Upto_April23__134[[#This Row],[Cereals and products]:[Food and beverages]])</f>
        <v>165.99230769230769</v>
      </c>
      <c r="R303" s="2">
        <f>AVERAGE(All_India_Index_Upto_April23__134[[#This Row],[Cereals and products]:[Prepared meals, snacks, sweets etc.]])</f>
        <v>165.88333333333333</v>
      </c>
    </row>
    <row r="304" spans="1:18" x14ac:dyDescent="0.25">
      <c r="A304" t="s">
        <v>35</v>
      </c>
      <c r="B304">
        <v>2021</v>
      </c>
      <c r="C304" t="s">
        <v>46</v>
      </c>
      <c r="D304">
        <v>146.6</v>
      </c>
      <c r="E304">
        <v>204</v>
      </c>
      <c r="F304">
        <v>172.8</v>
      </c>
      <c r="G304">
        <v>158.4</v>
      </c>
      <c r="H304">
        <v>188</v>
      </c>
      <c r="I304">
        <v>156.80000000000001</v>
      </c>
      <c r="J304">
        <v>162.19999999999999</v>
      </c>
      <c r="K304">
        <v>164.1</v>
      </c>
      <c r="L304">
        <v>119.7</v>
      </c>
      <c r="M304">
        <v>168.8</v>
      </c>
      <c r="N304">
        <v>162.69999999999999</v>
      </c>
      <c r="O304">
        <v>173.9</v>
      </c>
      <c r="P304">
        <v>164</v>
      </c>
      <c r="Q304" s="2">
        <f>AVERAGE(All_India_Index_Upto_April23__134[[#This Row],[Cereals and products]:[Food and beverages]])</f>
        <v>164.76923076923077</v>
      </c>
      <c r="R304" s="2">
        <f>AVERAGE(All_India_Index_Upto_April23__134[[#This Row],[Cereals and products]:[Prepared meals, snacks, sweets etc.]])</f>
        <v>164.83333333333334</v>
      </c>
    </row>
    <row r="305" spans="1:18" x14ac:dyDescent="0.25">
      <c r="A305" t="s">
        <v>30</v>
      </c>
      <c r="B305">
        <v>2021</v>
      </c>
      <c r="C305" t="s">
        <v>48</v>
      </c>
      <c r="D305">
        <v>145.4</v>
      </c>
      <c r="E305">
        <v>202.1</v>
      </c>
      <c r="F305">
        <v>172</v>
      </c>
      <c r="G305">
        <v>158</v>
      </c>
      <c r="H305">
        <v>195.5</v>
      </c>
      <c r="I305">
        <v>152.69999999999999</v>
      </c>
      <c r="J305">
        <v>151.4</v>
      </c>
      <c r="K305">
        <v>163.9</v>
      </c>
      <c r="L305">
        <v>119.3</v>
      </c>
      <c r="M305">
        <v>170.1</v>
      </c>
      <c r="N305">
        <v>168.3</v>
      </c>
      <c r="O305">
        <v>172.8</v>
      </c>
      <c r="P305">
        <v>162.1</v>
      </c>
      <c r="Q305" s="2">
        <f>AVERAGE(All_India_Index_Upto_April23__134[[#This Row],[Cereals and products]:[Food and beverages]])</f>
        <v>164.12307692307692</v>
      </c>
      <c r="R305" s="2">
        <f>AVERAGE(All_India_Index_Upto_April23__134[[#This Row],[Cereals and products]:[Prepared meals, snacks, sweets etc.]])</f>
        <v>164.29166666666666</v>
      </c>
    </row>
    <row r="306" spans="1:18" x14ac:dyDescent="0.25">
      <c r="A306" t="s">
        <v>33</v>
      </c>
      <c r="B306">
        <v>2021</v>
      </c>
      <c r="C306" t="s">
        <v>48</v>
      </c>
      <c r="D306">
        <v>149.30000000000001</v>
      </c>
      <c r="E306">
        <v>207.4</v>
      </c>
      <c r="F306">
        <v>174.1</v>
      </c>
      <c r="G306">
        <v>159.1</v>
      </c>
      <c r="H306">
        <v>175</v>
      </c>
      <c r="I306">
        <v>161.19999999999999</v>
      </c>
      <c r="J306">
        <v>183.5</v>
      </c>
      <c r="K306">
        <v>164.5</v>
      </c>
      <c r="L306">
        <v>120.4</v>
      </c>
      <c r="M306">
        <v>166.2</v>
      </c>
      <c r="N306">
        <v>154.80000000000001</v>
      </c>
      <c r="O306">
        <v>175.1</v>
      </c>
      <c r="P306">
        <v>167.3</v>
      </c>
      <c r="Q306" s="2">
        <f>AVERAGE(All_India_Index_Upto_April23__134[[#This Row],[Cereals and products]:[Food and beverages]])</f>
        <v>165.99230769230769</v>
      </c>
      <c r="R306" s="2">
        <f>AVERAGE(All_India_Index_Upto_April23__134[[#This Row],[Cereals and products]:[Prepared meals, snacks, sweets etc.]])</f>
        <v>165.88333333333335</v>
      </c>
    </row>
    <row r="307" spans="1:18" x14ac:dyDescent="0.25">
      <c r="A307" t="s">
        <v>35</v>
      </c>
      <c r="B307">
        <v>2021</v>
      </c>
      <c r="C307" t="s">
        <v>48</v>
      </c>
      <c r="D307">
        <v>146.6</v>
      </c>
      <c r="E307">
        <v>204</v>
      </c>
      <c r="F307">
        <v>172.8</v>
      </c>
      <c r="G307">
        <v>158.4</v>
      </c>
      <c r="H307">
        <v>188</v>
      </c>
      <c r="I307">
        <v>156.69999999999999</v>
      </c>
      <c r="J307">
        <v>162.30000000000001</v>
      </c>
      <c r="K307">
        <v>164.1</v>
      </c>
      <c r="L307">
        <v>119.7</v>
      </c>
      <c r="M307">
        <v>168.8</v>
      </c>
      <c r="N307">
        <v>162.69999999999999</v>
      </c>
      <c r="O307">
        <v>173.9</v>
      </c>
      <c r="P307">
        <v>164</v>
      </c>
      <c r="Q307" s="2">
        <f>AVERAGE(All_India_Index_Upto_April23__134[[#This Row],[Cereals and products]:[Food and beverages]])</f>
        <v>164.76923076923077</v>
      </c>
      <c r="R307" s="2">
        <f>AVERAGE(All_India_Index_Upto_April23__134[[#This Row],[Cereals and products]:[Prepared meals, snacks, sweets etc.]])</f>
        <v>164.83333333333334</v>
      </c>
    </row>
    <row r="308" spans="1:18" x14ac:dyDescent="0.25">
      <c r="A308" t="s">
        <v>30</v>
      </c>
      <c r="B308">
        <v>2021</v>
      </c>
      <c r="C308" t="s">
        <v>50</v>
      </c>
      <c r="D308">
        <v>146.1</v>
      </c>
      <c r="E308">
        <v>202.5</v>
      </c>
      <c r="F308">
        <v>170.1</v>
      </c>
      <c r="G308">
        <v>158.4</v>
      </c>
      <c r="H308">
        <v>198.8</v>
      </c>
      <c r="I308">
        <v>152.6</v>
      </c>
      <c r="J308">
        <v>170.4</v>
      </c>
      <c r="K308">
        <v>165.2</v>
      </c>
      <c r="L308">
        <v>121.6</v>
      </c>
      <c r="M308">
        <v>170.6</v>
      </c>
      <c r="N308">
        <v>168.8</v>
      </c>
      <c r="O308">
        <v>173.6</v>
      </c>
      <c r="P308">
        <v>165.5</v>
      </c>
      <c r="Q308" s="2">
        <f>AVERAGE(All_India_Index_Upto_April23__134[[#This Row],[Cereals and products]:[Food and beverages]])</f>
        <v>166.47692307692307</v>
      </c>
      <c r="R308" s="2">
        <f>AVERAGE(All_India_Index_Upto_April23__134[[#This Row],[Cereals and products]:[Prepared meals, snacks, sweets etc.]])</f>
        <v>166.55833333333331</v>
      </c>
    </row>
    <row r="309" spans="1:18" x14ac:dyDescent="0.25">
      <c r="A309" t="s">
        <v>33</v>
      </c>
      <c r="B309">
        <v>2021</v>
      </c>
      <c r="C309" t="s">
        <v>50</v>
      </c>
      <c r="D309">
        <v>150.1</v>
      </c>
      <c r="E309">
        <v>208.4</v>
      </c>
      <c r="F309">
        <v>173</v>
      </c>
      <c r="G309">
        <v>159.19999999999999</v>
      </c>
      <c r="H309">
        <v>176.6</v>
      </c>
      <c r="I309">
        <v>159.30000000000001</v>
      </c>
      <c r="J309">
        <v>214.4</v>
      </c>
      <c r="K309">
        <v>165.3</v>
      </c>
      <c r="L309">
        <v>122.5</v>
      </c>
      <c r="M309">
        <v>166.8</v>
      </c>
      <c r="N309">
        <v>155.4</v>
      </c>
      <c r="O309">
        <v>175.9</v>
      </c>
      <c r="P309">
        <v>171.5</v>
      </c>
      <c r="Q309" s="2">
        <f>AVERAGE(All_India_Index_Upto_April23__134[[#This Row],[Cereals and products]:[Food and beverages]])</f>
        <v>169.10769230769236</v>
      </c>
      <c r="R309" s="2">
        <f>AVERAGE(All_India_Index_Upto_April23__134[[#This Row],[Cereals and products]:[Prepared meals, snacks, sweets etc.]])</f>
        <v>168.90833333333336</v>
      </c>
    </row>
    <row r="310" spans="1:18" x14ac:dyDescent="0.25">
      <c r="A310" t="s">
        <v>35</v>
      </c>
      <c r="B310">
        <v>2021</v>
      </c>
      <c r="C310" t="s">
        <v>50</v>
      </c>
      <c r="D310">
        <v>147.4</v>
      </c>
      <c r="E310">
        <v>204.6</v>
      </c>
      <c r="F310">
        <v>171.2</v>
      </c>
      <c r="G310">
        <v>158.69999999999999</v>
      </c>
      <c r="H310">
        <v>190.6</v>
      </c>
      <c r="I310">
        <v>155.69999999999999</v>
      </c>
      <c r="J310">
        <v>185.3</v>
      </c>
      <c r="K310">
        <v>165.2</v>
      </c>
      <c r="L310">
        <v>121.9</v>
      </c>
      <c r="M310">
        <v>169.3</v>
      </c>
      <c r="N310">
        <v>163.19999999999999</v>
      </c>
      <c r="O310">
        <v>174.7</v>
      </c>
      <c r="P310">
        <v>167.7</v>
      </c>
      <c r="Q310" s="2">
        <f>AVERAGE(All_India_Index_Upto_April23__134[[#This Row],[Cereals and products]:[Food and beverages]])</f>
        <v>167.34615384615384</v>
      </c>
      <c r="R310" s="2">
        <f>AVERAGE(All_India_Index_Upto_April23__134[[#This Row],[Cereals and products]:[Prepared meals, snacks, sweets etc.]])</f>
        <v>167.31666666666669</v>
      </c>
    </row>
    <row r="311" spans="1:18" x14ac:dyDescent="0.25">
      <c r="A311" t="s">
        <v>30</v>
      </c>
      <c r="B311">
        <v>2021</v>
      </c>
      <c r="C311" t="s">
        <v>53</v>
      </c>
      <c r="D311">
        <v>146.9</v>
      </c>
      <c r="E311">
        <v>199.8</v>
      </c>
      <c r="F311">
        <v>171.5</v>
      </c>
      <c r="G311">
        <v>159.1</v>
      </c>
      <c r="H311">
        <v>198.4</v>
      </c>
      <c r="I311">
        <v>153.19999999999999</v>
      </c>
      <c r="J311">
        <v>183.9</v>
      </c>
      <c r="K311">
        <v>165.4</v>
      </c>
      <c r="L311">
        <v>122.1</v>
      </c>
      <c r="M311">
        <v>170.8</v>
      </c>
      <c r="N311">
        <v>169.1</v>
      </c>
      <c r="O311">
        <v>174.3</v>
      </c>
      <c r="P311">
        <v>167.5</v>
      </c>
      <c r="Q311" s="2">
        <f>AVERAGE(All_India_Index_Upto_April23__134[[#This Row],[Cereals and products]:[Food and beverages]])</f>
        <v>167.84615384615384</v>
      </c>
      <c r="R311" s="2">
        <f>AVERAGE(All_India_Index_Upto_April23__134[[#This Row],[Cereals and products]:[Prepared meals, snacks, sweets etc.]])</f>
        <v>167.875</v>
      </c>
    </row>
    <row r="312" spans="1:18" x14ac:dyDescent="0.25">
      <c r="A312" t="s">
        <v>33</v>
      </c>
      <c r="B312">
        <v>2021</v>
      </c>
      <c r="C312" t="s">
        <v>53</v>
      </c>
      <c r="D312">
        <v>151</v>
      </c>
      <c r="E312">
        <v>204.9</v>
      </c>
      <c r="F312">
        <v>175.4</v>
      </c>
      <c r="G312">
        <v>159.6</v>
      </c>
      <c r="H312">
        <v>175.8</v>
      </c>
      <c r="I312">
        <v>160.30000000000001</v>
      </c>
      <c r="J312">
        <v>229.1</v>
      </c>
      <c r="K312">
        <v>165.1</v>
      </c>
      <c r="L312">
        <v>123.1</v>
      </c>
      <c r="M312">
        <v>167.2</v>
      </c>
      <c r="N312">
        <v>156.1</v>
      </c>
      <c r="O312">
        <v>176.8</v>
      </c>
      <c r="P312">
        <v>173.5</v>
      </c>
      <c r="Q312" s="2">
        <f>AVERAGE(All_India_Index_Upto_April23__134[[#This Row],[Cereals and products]:[Food and beverages]])</f>
        <v>170.60769230769228</v>
      </c>
      <c r="R312" s="2">
        <f>AVERAGE(All_India_Index_Upto_April23__134[[#This Row],[Cereals and products]:[Prepared meals, snacks, sweets etc.]])</f>
        <v>170.36666666666665</v>
      </c>
    </row>
    <row r="313" spans="1:18" x14ac:dyDescent="0.25">
      <c r="A313" t="s">
        <v>35</v>
      </c>
      <c r="B313">
        <v>2021</v>
      </c>
      <c r="C313" t="s">
        <v>53</v>
      </c>
      <c r="D313">
        <v>148.19999999999999</v>
      </c>
      <c r="E313">
        <v>201.6</v>
      </c>
      <c r="F313">
        <v>173</v>
      </c>
      <c r="G313">
        <v>159.30000000000001</v>
      </c>
      <c r="H313">
        <v>190.1</v>
      </c>
      <c r="I313">
        <v>156.5</v>
      </c>
      <c r="J313">
        <v>199.2</v>
      </c>
      <c r="K313">
        <v>165.3</v>
      </c>
      <c r="L313">
        <v>122.4</v>
      </c>
      <c r="M313">
        <v>169.6</v>
      </c>
      <c r="N313">
        <v>163.69999999999999</v>
      </c>
      <c r="O313">
        <v>175.5</v>
      </c>
      <c r="P313">
        <v>169.7</v>
      </c>
      <c r="Q313" s="2">
        <f>AVERAGE(All_India_Index_Upto_April23__134[[#This Row],[Cereals and products]:[Food and beverages]])</f>
        <v>168.77692307692308</v>
      </c>
      <c r="R313" s="2">
        <f>AVERAGE(All_India_Index_Upto_April23__134[[#This Row],[Cereals and products]:[Prepared meals, snacks, sweets etc.]])</f>
        <v>168.7</v>
      </c>
    </row>
    <row r="314" spans="1:18" x14ac:dyDescent="0.25">
      <c r="A314" t="s">
        <v>30</v>
      </c>
      <c r="B314">
        <v>2021</v>
      </c>
      <c r="C314" t="s">
        <v>55</v>
      </c>
      <c r="D314">
        <v>147.4</v>
      </c>
      <c r="E314">
        <v>197</v>
      </c>
      <c r="F314">
        <v>176.5</v>
      </c>
      <c r="G314">
        <v>159.80000000000001</v>
      </c>
      <c r="H314">
        <v>195.8</v>
      </c>
      <c r="I314">
        <v>152</v>
      </c>
      <c r="J314">
        <v>172.3</v>
      </c>
      <c r="K314">
        <v>164.5</v>
      </c>
      <c r="L314">
        <v>120.6</v>
      </c>
      <c r="M314">
        <v>171.7</v>
      </c>
      <c r="N314">
        <v>169.7</v>
      </c>
      <c r="O314">
        <v>175.1</v>
      </c>
      <c r="P314">
        <v>165.8</v>
      </c>
      <c r="Q314" s="2">
        <f>AVERAGE(All_India_Index_Upto_April23__134[[#This Row],[Cereals and products]:[Food and beverages]])</f>
        <v>166.78461538461536</v>
      </c>
      <c r="R314" s="2">
        <f>AVERAGE(All_India_Index_Upto_April23__134[[#This Row],[Cereals and products]:[Prepared meals, snacks, sweets etc.]])</f>
        <v>166.86666666666665</v>
      </c>
    </row>
    <row r="315" spans="1:18" x14ac:dyDescent="0.25">
      <c r="A315" t="s">
        <v>33</v>
      </c>
      <c r="B315">
        <v>2021</v>
      </c>
      <c r="C315" t="s">
        <v>55</v>
      </c>
      <c r="D315">
        <v>151.6</v>
      </c>
      <c r="E315">
        <v>202.2</v>
      </c>
      <c r="F315">
        <v>180</v>
      </c>
      <c r="G315">
        <v>160</v>
      </c>
      <c r="H315">
        <v>173.5</v>
      </c>
      <c r="I315">
        <v>158.30000000000001</v>
      </c>
      <c r="J315">
        <v>219.5</v>
      </c>
      <c r="K315">
        <v>164.2</v>
      </c>
      <c r="L315">
        <v>121.9</v>
      </c>
      <c r="M315">
        <v>168.2</v>
      </c>
      <c r="N315">
        <v>156.5</v>
      </c>
      <c r="O315">
        <v>178.2</v>
      </c>
      <c r="P315">
        <v>172.2</v>
      </c>
      <c r="Q315" s="2">
        <f>AVERAGE(All_India_Index_Upto_April23__134[[#This Row],[Cereals and products]:[Food and beverages]])</f>
        <v>169.71538461538464</v>
      </c>
      <c r="R315" s="2">
        <f>AVERAGE(All_India_Index_Upto_April23__134[[#This Row],[Cereals and products]:[Prepared meals, snacks, sweets etc.]])</f>
        <v>169.50833333333335</v>
      </c>
    </row>
    <row r="316" spans="1:18" x14ac:dyDescent="0.25">
      <c r="A316" t="s">
        <v>35</v>
      </c>
      <c r="B316">
        <v>2021</v>
      </c>
      <c r="C316" t="s">
        <v>55</v>
      </c>
      <c r="D316">
        <v>148.69999999999999</v>
      </c>
      <c r="E316">
        <v>198.8</v>
      </c>
      <c r="F316">
        <v>177.9</v>
      </c>
      <c r="G316">
        <v>159.9</v>
      </c>
      <c r="H316">
        <v>187.6</v>
      </c>
      <c r="I316">
        <v>154.9</v>
      </c>
      <c r="J316">
        <v>188.3</v>
      </c>
      <c r="K316">
        <v>164.4</v>
      </c>
      <c r="L316">
        <v>121</v>
      </c>
      <c r="M316">
        <v>170.5</v>
      </c>
      <c r="N316">
        <v>164.2</v>
      </c>
      <c r="O316">
        <v>176.5</v>
      </c>
      <c r="P316">
        <v>168.2</v>
      </c>
      <c r="Q316" s="2">
        <f>AVERAGE(All_India_Index_Upto_April23__134[[#This Row],[Cereals and products]:[Food and beverages]])</f>
        <v>167.76153846153846</v>
      </c>
      <c r="R316" s="2">
        <f>AVERAGE(All_India_Index_Upto_April23__134[[#This Row],[Cereals and products]:[Prepared meals, snacks, sweets etc.]])</f>
        <v>167.72499999999999</v>
      </c>
    </row>
    <row r="317" spans="1:18" x14ac:dyDescent="0.25">
      <c r="A317" t="s">
        <v>30</v>
      </c>
      <c r="B317">
        <v>2022</v>
      </c>
      <c r="C317" t="s">
        <v>31</v>
      </c>
      <c r="D317">
        <v>148.30000000000001</v>
      </c>
      <c r="E317">
        <v>196.9</v>
      </c>
      <c r="F317">
        <v>178</v>
      </c>
      <c r="G317">
        <v>160.5</v>
      </c>
      <c r="H317">
        <v>192.6</v>
      </c>
      <c r="I317">
        <v>151.19999999999999</v>
      </c>
      <c r="J317">
        <v>159.19999999999999</v>
      </c>
      <c r="K317">
        <v>164</v>
      </c>
      <c r="L317">
        <v>119.3</v>
      </c>
      <c r="M317">
        <v>173.3</v>
      </c>
      <c r="N317">
        <v>169.8</v>
      </c>
      <c r="O317">
        <v>175.8</v>
      </c>
      <c r="P317">
        <v>164.1</v>
      </c>
      <c r="Q317" s="2">
        <f>AVERAGE(All_India_Index_Upto_April23__134[[#This Row],[Cereals and products]:[Food and beverages]])</f>
        <v>165.61538461538461</v>
      </c>
      <c r="R317" s="2">
        <f>AVERAGE(All_India_Index_Upto_April23__134[[#This Row],[Cereals and products]:[Prepared meals, snacks, sweets etc.]])</f>
        <v>165.74166666666665</v>
      </c>
    </row>
    <row r="318" spans="1:18" x14ac:dyDescent="0.25">
      <c r="A318" t="s">
        <v>33</v>
      </c>
      <c r="B318">
        <v>2022</v>
      </c>
      <c r="C318" t="s">
        <v>31</v>
      </c>
      <c r="D318">
        <v>152.19999999999999</v>
      </c>
      <c r="E318">
        <v>202.1</v>
      </c>
      <c r="F318">
        <v>180.1</v>
      </c>
      <c r="G318">
        <v>160.4</v>
      </c>
      <c r="H318">
        <v>171</v>
      </c>
      <c r="I318">
        <v>156.5</v>
      </c>
      <c r="J318">
        <v>203.6</v>
      </c>
      <c r="K318">
        <v>163.80000000000001</v>
      </c>
      <c r="L318">
        <v>121.3</v>
      </c>
      <c r="M318">
        <v>169.8</v>
      </c>
      <c r="N318">
        <v>156.6</v>
      </c>
      <c r="O318">
        <v>179</v>
      </c>
      <c r="P318">
        <v>170.3</v>
      </c>
      <c r="Q318" s="2">
        <f>AVERAGE(All_India_Index_Upto_April23__134[[#This Row],[Cereals and products]:[Food and beverages]])</f>
        <v>168.2076923076923</v>
      </c>
      <c r="R318" s="2">
        <f>AVERAGE(All_India_Index_Upto_April23__134[[#This Row],[Cereals and products]:[Prepared meals, snacks, sweets etc.]])</f>
        <v>168.0333333333333</v>
      </c>
    </row>
    <row r="319" spans="1:18" x14ac:dyDescent="0.25">
      <c r="A319" t="s">
        <v>35</v>
      </c>
      <c r="B319">
        <v>2022</v>
      </c>
      <c r="C319" t="s">
        <v>31</v>
      </c>
      <c r="D319">
        <v>149.5</v>
      </c>
      <c r="E319">
        <v>198.7</v>
      </c>
      <c r="F319">
        <v>178.8</v>
      </c>
      <c r="G319">
        <v>160.5</v>
      </c>
      <c r="H319">
        <v>184.7</v>
      </c>
      <c r="I319">
        <v>153.69999999999999</v>
      </c>
      <c r="J319">
        <v>174.3</v>
      </c>
      <c r="K319">
        <v>163.9</v>
      </c>
      <c r="L319">
        <v>120</v>
      </c>
      <c r="M319">
        <v>172.1</v>
      </c>
      <c r="N319">
        <v>164.3</v>
      </c>
      <c r="O319">
        <v>177.3</v>
      </c>
      <c r="P319">
        <v>166.4</v>
      </c>
      <c r="Q319" s="2">
        <f>AVERAGE(All_India_Index_Upto_April23__134[[#This Row],[Cereals and products]:[Food and beverages]])</f>
        <v>166.47692307692307</v>
      </c>
      <c r="R319" s="2">
        <f>AVERAGE(All_India_Index_Upto_April23__134[[#This Row],[Cereals and products]:[Prepared meals, snacks, sweets etc.]])</f>
        <v>166.48333333333332</v>
      </c>
    </row>
    <row r="320" spans="1:18" x14ac:dyDescent="0.25">
      <c r="A320" t="s">
        <v>30</v>
      </c>
      <c r="B320">
        <v>2022</v>
      </c>
      <c r="C320" t="s">
        <v>36</v>
      </c>
      <c r="D320">
        <v>148.80000000000001</v>
      </c>
      <c r="E320">
        <v>198.1</v>
      </c>
      <c r="F320">
        <v>175.5</v>
      </c>
      <c r="G320">
        <v>160.69999999999999</v>
      </c>
      <c r="H320">
        <v>192.6</v>
      </c>
      <c r="I320">
        <v>151.4</v>
      </c>
      <c r="J320">
        <v>155.19999999999999</v>
      </c>
      <c r="K320">
        <v>163.9</v>
      </c>
      <c r="L320">
        <v>118.1</v>
      </c>
      <c r="M320">
        <v>175.4</v>
      </c>
      <c r="N320">
        <v>170.5</v>
      </c>
      <c r="O320">
        <v>176.3</v>
      </c>
      <c r="P320">
        <v>163.9</v>
      </c>
      <c r="Q320" s="2">
        <f>AVERAGE(All_India_Index_Upto_April23__134[[#This Row],[Cereals and products]:[Food and beverages]])</f>
        <v>165.41538461538462</v>
      </c>
      <c r="R320" s="2">
        <f>AVERAGE(All_India_Index_Upto_April23__134[[#This Row],[Cereals and products]:[Prepared meals, snacks, sweets etc.]])</f>
        <v>165.54166666666666</v>
      </c>
    </row>
    <row r="321" spans="1:18" x14ac:dyDescent="0.25">
      <c r="A321" t="s">
        <v>33</v>
      </c>
      <c r="B321">
        <v>2022</v>
      </c>
      <c r="C321" t="s">
        <v>36</v>
      </c>
      <c r="D321">
        <v>152.5</v>
      </c>
      <c r="E321">
        <v>205.2</v>
      </c>
      <c r="F321">
        <v>176.4</v>
      </c>
      <c r="G321">
        <v>160.6</v>
      </c>
      <c r="H321">
        <v>171.5</v>
      </c>
      <c r="I321">
        <v>156.4</v>
      </c>
      <c r="J321">
        <v>198</v>
      </c>
      <c r="K321">
        <v>163.19999999999999</v>
      </c>
      <c r="L321">
        <v>120.6</v>
      </c>
      <c r="M321">
        <v>172.2</v>
      </c>
      <c r="N321">
        <v>156.69999999999999</v>
      </c>
      <c r="O321">
        <v>180</v>
      </c>
      <c r="P321">
        <v>170.2</v>
      </c>
      <c r="Q321" s="2">
        <f>AVERAGE(All_India_Index_Upto_April23__134[[#This Row],[Cereals and products]:[Food and beverages]])</f>
        <v>167.96153846153845</v>
      </c>
      <c r="R321" s="2">
        <f>AVERAGE(All_India_Index_Upto_April23__134[[#This Row],[Cereals and products]:[Prepared meals, snacks, sweets etc.]])</f>
        <v>167.77500000000001</v>
      </c>
    </row>
    <row r="322" spans="1:18" x14ac:dyDescent="0.25">
      <c r="A322" t="s">
        <v>35</v>
      </c>
      <c r="B322">
        <v>2022</v>
      </c>
      <c r="C322" t="s">
        <v>36</v>
      </c>
      <c r="D322">
        <v>150</v>
      </c>
      <c r="E322">
        <v>200.6</v>
      </c>
      <c r="F322">
        <v>175.8</v>
      </c>
      <c r="G322">
        <v>160.69999999999999</v>
      </c>
      <c r="H322">
        <v>184.9</v>
      </c>
      <c r="I322">
        <v>153.69999999999999</v>
      </c>
      <c r="J322">
        <v>169.7</v>
      </c>
      <c r="K322">
        <v>163.69999999999999</v>
      </c>
      <c r="L322">
        <v>118.9</v>
      </c>
      <c r="M322">
        <v>174.3</v>
      </c>
      <c r="N322">
        <v>164.7</v>
      </c>
      <c r="O322">
        <v>178</v>
      </c>
      <c r="P322">
        <v>166.2</v>
      </c>
      <c r="Q322" s="2">
        <f>AVERAGE(All_India_Index_Upto_April23__134[[#This Row],[Cereals and products]:[Food and beverages]])</f>
        <v>166.24615384615387</v>
      </c>
      <c r="R322" s="2">
        <f>AVERAGE(All_India_Index_Upto_April23__134[[#This Row],[Cereals and products]:[Prepared meals, snacks, sweets etc.]])</f>
        <v>166.25000000000003</v>
      </c>
    </row>
    <row r="323" spans="1:18" x14ac:dyDescent="0.25">
      <c r="A323" t="s">
        <v>30</v>
      </c>
      <c r="B323">
        <v>2022</v>
      </c>
      <c r="C323" t="s">
        <v>38</v>
      </c>
      <c r="D323">
        <v>150.19999999999999</v>
      </c>
      <c r="E323">
        <v>208</v>
      </c>
      <c r="F323">
        <v>167.9</v>
      </c>
      <c r="G323">
        <v>162</v>
      </c>
      <c r="H323">
        <v>203.1</v>
      </c>
      <c r="I323">
        <v>155.9</v>
      </c>
      <c r="J323">
        <v>155.80000000000001</v>
      </c>
      <c r="K323">
        <v>164.2</v>
      </c>
      <c r="L323">
        <v>118.1</v>
      </c>
      <c r="M323">
        <v>178.7</v>
      </c>
      <c r="N323">
        <v>171.2</v>
      </c>
      <c r="O323">
        <v>177.4</v>
      </c>
      <c r="P323">
        <v>166.6</v>
      </c>
      <c r="Q323" s="2">
        <f>AVERAGE(All_India_Index_Upto_April23__134[[#This Row],[Cereals and products]:[Food and beverages]])</f>
        <v>167.62307692307695</v>
      </c>
      <c r="R323" s="2">
        <f>AVERAGE(All_India_Index_Upto_April23__134[[#This Row],[Cereals and products]:[Prepared meals, snacks, sweets etc.]])</f>
        <v>167.70833333333334</v>
      </c>
    </row>
    <row r="324" spans="1:18" x14ac:dyDescent="0.25">
      <c r="A324" t="s">
        <v>33</v>
      </c>
      <c r="B324">
        <v>2022</v>
      </c>
      <c r="C324" t="s">
        <v>38</v>
      </c>
      <c r="D324">
        <v>153.69999999999999</v>
      </c>
      <c r="E324">
        <v>215.8</v>
      </c>
      <c r="F324">
        <v>167.7</v>
      </c>
      <c r="G324">
        <v>162.6</v>
      </c>
      <c r="H324">
        <v>180</v>
      </c>
      <c r="I324">
        <v>159.6</v>
      </c>
      <c r="J324">
        <v>188.4</v>
      </c>
      <c r="K324">
        <v>163.4</v>
      </c>
      <c r="L324">
        <v>120.3</v>
      </c>
      <c r="M324">
        <v>174.7</v>
      </c>
      <c r="N324">
        <v>157.1</v>
      </c>
      <c r="O324">
        <v>181.5</v>
      </c>
      <c r="P324">
        <v>171.5</v>
      </c>
      <c r="Q324" s="2">
        <f>AVERAGE(All_India_Index_Upto_April23__134[[#This Row],[Cereals and products]:[Food and beverages]])</f>
        <v>168.94615384615386</v>
      </c>
      <c r="R324" s="2">
        <f>AVERAGE(All_India_Index_Upto_April23__134[[#This Row],[Cereals and products]:[Prepared meals, snacks, sweets etc.]])</f>
        <v>168.73333333333335</v>
      </c>
    </row>
    <row r="325" spans="1:18" x14ac:dyDescent="0.25">
      <c r="A325" t="s">
        <v>35</v>
      </c>
      <c r="B325">
        <v>2022</v>
      </c>
      <c r="C325" t="s">
        <v>38</v>
      </c>
      <c r="D325">
        <v>151.30000000000001</v>
      </c>
      <c r="E325">
        <v>210.7</v>
      </c>
      <c r="F325">
        <v>167.8</v>
      </c>
      <c r="G325">
        <v>162.19999999999999</v>
      </c>
      <c r="H325">
        <v>194.6</v>
      </c>
      <c r="I325">
        <v>157.6</v>
      </c>
      <c r="J325">
        <v>166.9</v>
      </c>
      <c r="K325">
        <v>163.9</v>
      </c>
      <c r="L325">
        <v>118.8</v>
      </c>
      <c r="M325">
        <v>177.4</v>
      </c>
      <c r="N325">
        <v>165.3</v>
      </c>
      <c r="O325">
        <v>179.3</v>
      </c>
      <c r="P325">
        <v>168.4</v>
      </c>
      <c r="Q325" s="2">
        <f>AVERAGE(All_India_Index_Upto_April23__134[[#This Row],[Cereals and products]:[Food and beverages]])</f>
        <v>168.01538461538465</v>
      </c>
      <c r="R325" s="2">
        <f>AVERAGE(All_India_Index_Upto_April23__134[[#This Row],[Cereals and products]:[Prepared meals, snacks, sweets etc.]])</f>
        <v>167.98333333333335</v>
      </c>
    </row>
    <row r="326" spans="1:18" x14ac:dyDescent="0.25">
      <c r="A326" t="s">
        <v>30</v>
      </c>
      <c r="B326">
        <v>2022</v>
      </c>
      <c r="C326" t="s">
        <v>39</v>
      </c>
      <c r="D326">
        <v>151.80000000000001</v>
      </c>
      <c r="E326">
        <v>209.7</v>
      </c>
      <c r="F326">
        <v>164.5</v>
      </c>
      <c r="G326">
        <v>163.80000000000001</v>
      </c>
      <c r="H326">
        <v>207.4</v>
      </c>
      <c r="I326">
        <v>169.7</v>
      </c>
      <c r="J326">
        <v>153.6</v>
      </c>
      <c r="K326">
        <v>165.1</v>
      </c>
      <c r="L326">
        <v>118.2</v>
      </c>
      <c r="M326">
        <v>182.9</v>
      </c>
      <c r="N326">
        <v>172.4</v>
      </c>
      <c r="O326">
        <v>178.9</v>
      </c>
      <c r="P326">
        <v>168.6</v>
      </c>
      <c r="Q326" s="2">
        <f>AVERAGE(All_India_Index_Upto_April23__134[[#This Row],[Cereals and products]:[Food and beverages]])</f>
        <v>169.73846153846154</v>
      </c>
      <c r="R326" s="2">
        <f>AVERAGE(All_India_Index_Upto_April23__134[[#This Row],[Cereals and products]:[Prepared meals, snacks, sweets etc.]])</f>
        <v>169.83333333333334</v>
      </c>
    </row>
    <row r="327" spans="1:18" x14ac:dyDescent="0.25">
      <c r="A327" t="s">
        <v>33</v>
      </c>
      <c r="B327">
        <v>2022</v>
      </c>
      <c r="C327" t="s">
        <v>39</v>
      </c>
      <c r="D327">
        <v>155.4</v>
      </c>
      <c r="E327">
        <v>215.8</v>
      </c>
      <c r="F327">
        <v>164.6</v>
      </c>
      <c r="G327">
        <v>164.2</v>
      </c>
      <c r="H327">
        <v>186</v>
      </c>
      <c r="I327">
        <v>175.9</v>
      </c>
      <c r="J327">
        <v>190.7</v>
      </c>
      <c r="K327">
        <v>164</v>
      </c>
      <c r="L327">
        <v>120.5</v>
      </c>
      <c r="M327">
        <v>178</v>
      </c>
      <c r="N327">
        <v>157.5</v>
      </c>
      <c r="O327">
        <v>183.3</v>
      </c>
      <c r="P327">
        <v>174.5</v>
      </c>
      <c r="Q327" s="2">
        <f>AVERAGE(All_India_Index_Upto_April23__134[[#This Row],[Cereals and products]:[Food and beverages]])</f>
        <v>171.56923076923078</v>
      </c>
      <c r="R327" s="2">
        <f>AVERAGE(All_India_Index_Upto_April23__134[[#This Row],[Cereals and products]:[Prepared meals, snacks, sweets etc.]])</f>
        <v>171.32500000000002</v>
      </c>
    </row>
    <row r="328" spans="1:18" x14ac:dyDescent="0.25">
      <c r="A328" t="s">
        <v>35</v>
      </c>
      <c r="B328">
        <v>2022</v>
      </c>
      <c r="C328" t="s">
        <v>39</v>
      </c>
      <c r="D328">
        <v>152.9</v>
      </c>
      <c r="E328">
        <v>211.8</v>
      </c>
      <c r="F328">
        <v>164.5</v>
      </c>
      <c r="G328">
        <v>163.9</v>
      </c>
      <c r="H328">
        <v>199.5</v>
      </c>
      <c r="I328">
        <v>172.6</v>
      </c>
      <c r="J328">
        <v>166.2</v>
      </c>
      <c r="K328">
        <v>164.7</v>
      </c>
      <c r="L328">
        <v>119</v>
      </c>
      <c r="M328">
        <v>181.3</v>
      </c>
      <c r="N328">
        <v>166.2</v>
      </c>
      <c r="O328">
        <v>180.9</v>
      </c>
      <c r="P328">
        <v>170.8</v>
      </c>
      <c r="Q328" s="2">
        <f>AVERAGE(All_India_Index_Upto_April23__134[[#This Row],[Cereals and products]:[Food and beverages]])</f>
        <v>170.33076923076925</v>
      </c>
      <c r="R328" s="2">
        <f>AVERAGE(All_India_Index_Upto_April23__134[[#This Row],[Cereals and products]:[Prepared meals, snacks, sweets etc.]])</f>
        <v>170.29166666666669</v>
      </c>
    </row>
    <row r="329" spans="1:18" x14ac:dyDescent="0.25">
      <c r="A329" t="s">
        <v>30</v>
      </c>
      <c r="B329">
        <v>2022</v>
      </c>
      <c r="C329" t="s">
        <v>41</v>
      </c>
      <c r="D329">
        <v>152.9</v>
      </c>
      <c r="E329">
        <v>214.7</v>
      </c>
      <c r="F329">
        <v>161.4</v>
      </c>
      <c r="G329">
        <v>164.6</v>
      </c>
      <c r="H329">
        <v>209.9</v>
      </c>
      <c r="I329">
        <v>168</v>
      </c>
      <c r="J329">
        <v>160.4</v>
      </c>
      <c r="K329">
        <v>165</v>
      </c>
      <c r="L329">
        <v>118.9</v>
      </c>
      <c r="M329">
        <v>186.6</v>
      </c>
      <c r="N329">
        <v>173.2</v>
      </c>
      <c r="O329">
        <v>180.4</v>
      </c>
      <c r="P329">
        <v>170.8</v>
      </c>
      <c r="Q329" s="2">
        <f>AVERAGE(All_India_Index_Upto_April23__134[[#This Row],[Cereals and products]:[Food and beverages]])</f>
        <v>171.2923076923077</v>
      </c>
      <c r="R329" s="2">
        <f>AVERAGE(All_India_Index_Upto_April23__134[[#This Row],[Cereals and products]:[Prepared meals, snacks, sweets etc.]])</f>
        <v>171.33333333333334</v>
      </c>
    </row>
    <row r="330" spans="1:18" x14ac:dyDescent="0.25">
      <c r="A330" t="s">
        <v>33</v>
      </c>
      <c r="B330">
        <v>2022</v>
      </c>
      <c r="C330" t="s">
        <v>41</v>
      </c>
      <c r="D330">
        <v>156.69999999999999</v>
      </c>
      <c r="E330">
        <v>221.2</v>
      </c>
      <c r="F330">
        <v>164.1</v>
      </c>
      <c r="G330">
        <v>165.4</v>
      </c>
      <c r="H330">
        <v>189.5</v>
      </c>
      <c r="I330">
        <v>174.5</v>
      </c>
      <c r="J330">
        <v>203.2</v>
      </c>
      <c r="K330">
        <v>164.1</v>
      </c>
      <c r="L330">
        <v>121.2</v>
      </c>
      <c r="M330">
        <v>181.4</v>
      </c>
      <c r="N330">
        <v>158.5</v>
      </c>
      <c r="O330">
        <v>184.9</v>
      </c>
      <c r="P330">
        <v>177.5</v>
      </c>
      <c r="Q330" s="2">
        <f>AVERAGE(All_India_Index_Upto_April23__134[[#This Row],[Cereals and products]:[Food and beverages]])</f>
        <v>174.01538461538465</v>
      </c>
      <c r="R330" s="2">
        <f>AVERAGE(All_India_Index_Upto_April23__134[[#This Row],[Cereals and products]:[Prepared meals, snacks, sweets etc.]])</f>
        <v>173.72500000000002</v>
      </c>
    </row>
    <row r="331" spans="1:18" x14ac:dyDescent="0.25">
      <c r="A331" t="s">
        <v>35</v>
      </c>
      <c r="B331">
        <v>2022</v>
      </c>
      <c r="C331" t="s">
        <v>41</v>
      </c>
      <c r="D331">
        <v>154.1</v>
      </c>
      <c r="E331">
        <v>217</v>
      </c>
      <c r="F331">
        <v>162.4</v>
      </c>
      <c r="G331">
        <v>164.9</v>
      </c>
      <c r="H331">
        <v>202.4</v>
      </c>
      <c r="I331">
        <v>171</v>
      </c>
      <c r="J331">
        <v>174.9</v>
      </c>
      <c r="K331">
        <v>164.7</v>
      </c>
      <c r="L331">
        <v>119.7</v>
      </c>
      <c r="M331">
        <v>184.9</v>
      </c>
      <c r="N331">
        <v>167.1</v>
      </c>
      <c r="O331">
        <v>182.5</v>
      </c>
      <c r="P331">
        <v>173.3</v>
      </c>
      <c r="Q331" s="2">
        <f>AVERAGE(All_India_Index_Upto_April23__134[[#This Row],[Cereals and products]:[Food and beverages]])</f>
        <v>172.22307692307697</v>
      </c>
      <c r="R331" s="2">
        <f>AVERAGE(All_India_Index_Upto_April23__134[[#This Row],[Cereals and products]:[Prepared meals, snacks, sweets etc.]])</f>
        <v>172.13333333333335</v>
      </c>
    </row>
    <row r="332" spans="1:18" x14ac:dyDescent="0.25">
      <c r="A332" t="s">
        <v>30</v>
      </c>
      <c r="B332">
        <v>2022</v>
      </c>
      <c r="C332" t="s">
        <v>42</v>
      </c>
      <c r="D332">
        <v>153.80000000000001</v>
      </c>
      <c r="E332">
        <v>217.2</v>
      </c>
      <c r="F332">
        <v>169.6</v>
      </c>
      <c r="G332">
        <v>165.4</v>
      </c>
      <c r="H332">
        <v>208.1</v>
      </c>
      <c r="I332">
        <v>165.8</v>
      </c>
      <c r="J332">
        <v>167.3</v>
      </c>
      <c r="K332">
        <v>164.6</v>
      </c>
      <c r="L332">
        <v>119.1</v>
      </c>
      <c r="M332">
        <v>188.9</v>
      </c>
      <c r="N332">
        <v>174.2</v>
      </c>
      <c r="O332">
        <v>181.9</v>
      </c>
      <c r="P332">
        <v>172.4</v>
      </c>
      <c r="Q332" s="2">
        <f>AVERAGE(All_India_Index_Upto_April23__134[[#This Row],[Cereals and products]:[Food and beverages]])</f>
        <v>172.94615384615386</v>
      </c>
      <c r="R332" s="2">
        <f>AVERAGE(All_India_Index_Upto_April23__134[[#This Row],[Cereals and products]:[Prepared meals, snacks, sweets etc.]])</f>
        <v>172.99166666666667</v>
      </c>
    </row>
    <row r="333" spans="1:18" x14ac:dyDescent="0.25">
      <c r="A333" t="s">
        <v>33</v>
      </c>
      <c r="B333">
        <v>2022</v>
      </c>
      <c r="C333" t="s">
        <v>42</v>
      </c>
      <c r="D333">
        <v>157.5</v>
      </c>
      <c r="E333">
        <v>223.4</v>
      </c>
      <c r="F333">
        <v>172.8</v>
      </c>
      <c r="G333">
        <v>166.4</v>
      </c>
      <c r="H333">
        <v>188.6</v>
      </c>
      <c r="I333">
        <v>174.1</v>
      </c>
      <c r="J333">
        <v>211.5</v>
      </c>
      <c r="K333">
        <v>163.6</v>
      </c>
      <c r="L333">
        <v>121.4</v>
      </c>
      <c r="M333">
        <v>183.5</v>
      </c>
      <c r="N333">
        <v>159.1</v>
      </c>
      <c r="O333">
        <v>186.3</v>
      </c>
      <c r="P333">
        <v>179.3</v>
      </c>
      <c r="Q333" s="2">
        <f>AVERAGE(All_India_Index_Upto_April23__134[[#This Row],[Cereals and products]:[Food and beverages]])</f>
        <v>175.96153846153845</v>
      </c>
      <c r="R333" s="2">
        <f>AVERAGE(All_India_Index_Upto_April23__134[[#This Row],[Cereals and products]:[Prepared meals, snacks, sweets etc.]])</f>
        <v>175.68333333333331</v>
      </c>
    </row>
    <row r="334" spans="1:18" x14ac:dyDescent="0.25">
      <c r="A334" t="s">
        <v>35</v>
      </c>
      <c r="B334">
        <v>2022</v>
      </c>
      <c r="C334" t="s">
        <v>42</v>
      </c>
      <c r="D334">
        <v>155</v>
      </c>
      <c r="E334">
        <v>219.4</v>
      </c>
      <c r="F334">
        <v>170.8</v>
      </c>
      <c r="G334">
        <v>165.8</v>
      </c>
      <c r="H334">
        <v>200.9</v>
      </c>
      <c r="I334">
        <v>169.7</v>
      </c>
      <c r="J334">
        <v>182.3</v>
      </c>
      <c r="K334">
        <v>164.3</v>
      </c>
      <c r="L334">
        <v>119.9</v>
      </c>
      <c r="M334">
        <v>187.1</v>
      </c>
      <c r="N334">
        <v>167.9</v>
      </c>
      <c r="O334">
        <v>183.9</v>
      </c>
      <c r="P334">
        <v>174.9</v>
      </c>
      <c r="Q334" s="2">
        <f>AVERAGE(All_India_Index_Upto_April23__134[[#This Row],[Cereals and products]:[Food and beverages]])</f>
        <v>173.99230769230769</v>
      </c>
      <c r="R334" s="2">
        <f>AVERAGE(All_India_Index_Upto_April23__134[[#This Row],[Cereals and products]:[Prepared meals, snacks, sweets etc.]])</f>
        <v>173.91666666666666</v>
      </c>
    </row>
    <row r="335" spans="1:18" x14ac:dyDescent="0.25">
      <c r="A335" t="s">
        <v>30</v>
      </c>
      <c r="B335">
        <v>2022</v>
      </c>
      <c r="C335" t="s">
        <v>44</v>
      </c>
      <c r="D335">
        <v>155.19999999999999</v>
      </c>
      <c r="E335">
        <v>210.8</v>
      </c>
      <c r="F335">
        <v>174.3</v>
      </c>
      <c r="G335">
        <v>166.3</v>
      </c>
      <c r="H335">
        <v>202.2</v>
      </c>
      <c r="I335">
        <v>169.6</v>
      </c>
      <c r="J335">
        <v>168.6</v>
      </c>
      <c r="K335">
        <v>164.4</v>
      </c>
      <c r="L335">
        <v>119.2</v>
      </c>
      <c r="M335">
        <v>191.8</v>
      </c>
      <c r="N335">
        <v>174.5</v>
      </c>
      <c r="O335">
        <v>183.1</v>
      </c>
      <c r="P335">
        <v>172.5</v>
      </c>
      <c r="Q335" s="2">
        <f>AVERAGE(All_India_Index_Upto_April23__134[[#This Row],[Cereals and products]:[Food and beverages]])</f>
        <v>173.26923076923077</v>
      </c>
      <c r="R335" s="2">
        <f>AVERAGE(All_India_Index_Upto_April23__134[[#This Row],[Cereals and products]:[Prepared meals, snacks, sweets etc.]])</f>
        <v>173.33333333333334</v>
      </c>
    </row>
    <row r="336" spans="1:18" x14ac:dyDescent="0.25">
      <c r="A336" t="s">
        <v>33</v>
      </c>
      <c r="B336">
        <v>2022</v>
      </c>
      <c r="C336" t="s">
        <v>44</v>
      </c>
      <c r="D336">
        <v>159.30000000000001</v>
      </c>
      <c r="E336">
        <v>217.1</v>
      </c>
      <c r="F336">
        <v>176.6</v>
      </c>
      <c r="G336">
        <v>167.1</v>
      </c>
      <c r="H336">
        <v>184.8</v>
      </c>
      <c r="I336">
        <v>179.5</v>
      </c>
      <c r="J336">
        <v>208.5</v>
      </c>
      <c r="K336">
        <v>164</v>
      </c>
      <c r="L336">
        <v>121.5</v>
      </c>
      <c r="M336">
        <v>186.3</v>
      </c>
      <c r="N336">
        <v>159.80000000000001</v>
      </c>
      <c r="O336">
        <v>187.7</v>
      </c>
      <c r="P336">
        <v>179.4</v>
      </c>
      <c r="Q336" s="2">
        <f>AVERAGE(All_India_Index_Upto_April23__134[[#This Row],[Cereals and products]:[Food and beverages]])</f>
        <v>176.27692307692308</v>
      </c>
      <c r="R336" s="2">
        <f>AVERAGE(All_India_Index_Upto_April23__134[[#This Row],[Cereals and products]:[Prepared meals, snacks, sweets etc.]])</f>
        <v>176.01666666666665</v>
      </c>
    </row>
    <row r="337" spans="1:18" x14ac:dyDescent="0.25">
      <c r="A337" t="s">
        <v>35</v>
      </c>
      <c r="B337">
        <v>2022</v>
      </c>
      <c r="C337" t="s">
        <v>44</v>
      </c>
      <c r="D337">
        <v>156.5</v>
      </c>
      <c r="E337">
        <v>213</v>
      </c>
      <c r="F337">
        <v>175.2</v>
      </c>
      <c r="G337">
        <v>166.6</v>
      </c>
      <c r="H337">
        <v>195.8</v>
      </c>
      <c r="I337">
        <v>174.2</v>
      </c>
      <c r="J337">
        <v>182.1</v>
      </c>
      <c r="K337">
        <v>164.3</v>
      </c>
      <c r="L337">
        <v>120</v>
      </c>
      <c r="M337">
        <v>190</v>
      </c>
      <c r="N337">
        <v>168.4</v>
      </c>
      <c r="O337">
        <v>185.2</v>
      </c>
      <c r="P337">
        <v>175</v>
      </c>
      <c r="Q337" s="2">
        <f>AVERAGE(All_India_Index_Upto_April23__134[[#This Row],[Cereals and products]:[Food and beverages]])</f>
        <v>174.33076923076925</v>
      </c>
      <c r="R337" s="2">
        <f>AVERAGE(All_India_Index_Upto_April23__134[[#This Row],[Cereals and products]:[Prepared meals, snacks, sweets etc.]])</f>
        <v>174.27500000000001</v>
      </c>
    </row>
    <row r="338" spans="1:18" x14ac:dyDescent="0.25">
      <c r="A338" t="s">
        <v>30</v>
      </c>
      <c r="B338">
        <v>2022</v>
      </c>
      <c r="C338" t="s">
        <v>46</v>
      </c>
      <c r="D338">
        <v>159.5</v>
      </c>
      <c r="E338">
        <v>204.1</v>
      </c>
      <c r="F338">
        <v>168.3</v>
      </c>
      <c r="G338">
        <v>167.9</v>
      </c>
      <c r="H338">
        <v>198.1</v>
      </c>
      <c r="I338">
        <v>169.2</v>
      </c>
      <c r="J338">
        <v>173.1</v>
      </c>
      <c r="K338">
        <v>167.1</v>
      </c>
      <c r="L338">
        <v>120.2</v>
      </c>
      <c r="M338">
        <v>195.6</v>
      </c>
      <c r="N338">
        <v>174.8</v>
      </c>
      <c r="O338">
        <v>184</v>
      </c>
      <c r="P338">
        <v>173.9</v>
      </c>
      <c r="Q338" s="2">
        <f>AVERAGE(All_India_Index_Upto_April23__134[[#This Row],[Cereals and products]:[Food and beverages]])</f>
        <v>173.5230769230769</v>
      </c>
      <c r="R338" s="2">
        <f>AVERAGE(All_India_Index_Upto_April23__134[[#This Row],[Cereals and products]:[Prepared meals, snacks, sweets etc.]])</f>
        <v>173.49166666666665</v>
      </c>
    </row>
    <row r="339" spans="1:18" x14ac:dyDescent="0.25">
      <c r="A339" t="s">
        <v>33</v>
      </c>
      <c r="B339">
        <v>2022</v>
      </c>
      <c r="C339" t="s">
        <v>46</v>
      </c>
      <c r="D339">
        <v>162.1</v>
      </c>
      <c r="E339">
        <v>210.9</v>
      </c>
      <c r="F339">
        <v>170.6</v>
      </c>
      <c r="G339">
        <v>168.4</v>
      </c>
      <c r="H339">
        <v>182.5</v>
      </c>
      <c r="I339">
        <v>177.1</v>
      </c>
      <c r="J339">
        <v>213.1</v>
      </c>
      <c r="K339">
        <v>167.3</v>
      </c>
      <c r="L339">
        <v>122.2</v>
      </c>
      <c r="M339">
        <v>189.7</v>
      </c>
      <c r="N339">
        <v>160.5</v>
      </c>
      <c r="O339">
        <v>188.9</v>
      </c>
      <c r="P339">
        <v>180.4</v>
      </c>
      <c r="Q339" s="2">
        <f>AVERAGE(All_India_Index_Upto_April23__134[[#This Row],[Cereals and products]:[Food and beverages]])</f>
        <v>176.43846153846152</v>
      </c>
      <c r="R339" s="2">
        <f>AVERAGE(All_India_Index_Upto_April23__134[[#This Row],[Cereals and products]:[Prepared meals, snacks, sweets etc.]])</f>
        <v>176.10833333333332</v>
      </c>
    </row>
    <row r="340" spans="1:18" x14ac:dyDescent="0.25">
      <c r="A340" t="s">
        <v>35</v>
      </c>
      <c r="B340">
        <v>2022</v>
      </c>
      <c r="C340" t="s">
        <v>46</v>
      </c>
      <c r="D340">
        <v>160.30000000000001</v>
      </c>
      <c r="E340">
        <v>206.5</v>
      </c>
      <c r="F340">
        <v>169.2</v>
      </c>
      <c r="G340">
        <v>168.1</v>
      </c>
      <c r="H340">
        <v>192.4</v>
      </c>
      <c r="I340">
        <v>172.9</v>
      </c>
      <c r="J340">
        <v>186.7</v>
      </c>
      <c r="K340">
        <v>167.2</v>
      </c>
      <c r="L340">
        <v>120.9</v>
      </c>
      <c r="M340">
        <v>193.6</v>
      </c>
      <c r="N340">
        <v>168.8</v>
      </c>
      <c r="O340">
        <v>186.3</v>
      </c>
      <c r="P340">
        <v>176.3</v>
      </c>
      <c r="Q340" s="2">
        <f>AVERAGE(All_India_Index_Upto_April23__134[[#This Row],[Cereals and products]:[Food and beverages]])</f>
        <v>174.55384615384617</v>
      </c>
      <c r="R340" s="2">
        <f>AVERAGE(All_India_Index_Upto_April23__134[[#This Row],[Cereals and products]:[Prepared meals, snacks, sweets etc.]])</f>
        <v>174.40833333333333</v>
      </c>
    </row>
    <row r="341" spans="1:18" x14ac:dyDescent="0.25">
      <c r="A341" t="s">
        <v>30</v>
      </c>
      <c r="B341">
        <v>2022</v>
      </c>
      <c r="C341" t="s">
        <v>48</v>
      </c>
      <c r="D341">
        <v>162.9</v>
      </c>
      <c r="E341">
        <v>206.7</v>
      </c>
      <c r="F341">
        <v>169</v>
      </c>
      <c r="G341">
        <v>169.5</v>
      </c>
      <c r="H341">
        <v>194.1</v>
      </c>
      <c r="I341">
        <v>164.1</v>
      </c>
      <c r="J341">
        <v>176.9</v>
      </c>
      <c r="K341">
        <v>169</v>
      </c>
      <c r="L341">
        <v>120.8</v>
      </c>
      <c r="M341">
        <v>199.1</v>
      </c>
      <c r="N341">
        <v>175.4</v>
      </c>
      <c r="O341">
        <v>184.8</v>
      </c>
      <c r="P341">
        <v>175.5</v>
      </c>
      <c r="Q341" s="2">
        <f>AVERAGE(All_India_Index_Upto_April23__134[[#This Row],[Cereals and products]:[Food and beverages]])</f>
        <v>174.44615384615386</v>
      </c>
      <c r="R341" s="2">
        <f>AVERAGE(All_India_Index_Upto_April23__134[[#This Row],[Cereals and products]:[Prepared meals, snacks, sweets etc.]])</f>
        <v>174.35833333333335</v>
      </c>
    </row>
    <row r="342" spans="1:18" x14ac:dyDescent="0.25">
      <c r="A342" t="s">
        <v>33</v>
      </c>
      <c r="B342">
        <v>2022</v>
      </c>
      <c r="C342" t="s">
        <v>48</v>
      </c>
      <c r="D342">
        <v>164.9</v>
      </c>
      <c r="E342">
        <v>213.7</v>
      </c>
      <c r="F342">
        <v>170.9</v>
      </c>
      <c r="G342">
        <v>170.1</v>
      </c>
      <c r="H342">
        <v>179.3</v>
      </c>
      <c r="I342">
        <v>167.5</v>
      </c>
      <c r="J342">
        <v>220.8</v>
      </c>
      <c r="K342">
        <v>169.2</v>
      </c>
      <c r="L342">
        <v>123.1</v>
      </c>
      <c r="M342">
        <v>193.6</v>
      </c>
      <c r="N342">
        <v>161.1</v>
      </c>
      <c r="O342">
        <v>190.4</v>
      </c>
      <c r="P342">
        <v>181.8</v>
      </c>
      <c r="Q342" s="2">
        <f>AVERAGE(All_India_Index_Upto_April23__134[[#This Row],[Cereals and products]:[Food and beverages]])</f>
        <v>177.41538461538462</v>
      </c>
      <c r="R342" s="2">
        <f>AVERAGE(All_India_Index_Upto_April23__134[[#This Row],[Cereals and products]:[Prepared meals, snacks, sweets etc.]])</f>
        <v>177.04999999999998</v>
      </c>
    </row>
    <row r="343" spans="1:18" x14ac:dyDescent="0.25">
      <c r="A343" t="s">
        <v>35</v>
      </c>
      <c r="B343">
        <v>2022</v>
      </c>
      <c r="C343" t="s">
        <v>48</v>
      </c>
      <c r="D343">
        <v>163.5</v>
      </c>
      <c r="E343">
        <v>209.2</v>
      </c>
      <c r="F343">
        <v>169.7</v>
      </c>
      <c r="G343">
        <v>169.7</v>
      </c>
      <c r="H343">
        <v>188.7</v>
      </c>
      <c r="I343">
        <v>165.7</v>
      </c>
      <c r="J343">
        <v>191.8</v>
      </c>
      <c r="K343">
        <v>169.1</v>
      </c>
      <c r="L343">
        <v>121.6</v>
      </c>
      <c r="M343">
        <v>197.3</v>
      </c>
      <c r="N343">
        <v>169.4</v>
      </c>
      <c r="O343">
        <v>187.4</v>
      </c>
      <c r="P343">
        <v>177.8</v>
      </c>
      <c r="Q343" s="2">
        <f>AVERAGE(All_India_Index_Upto_April23__134[[#This Row],[Cereals and products]:[Food and beverages]])</f>
        <v>175.45384615384617</v>
      </c>
      <c r="R343" s="2">
        <f>AVERAGE(All_India_Index_Upto_April23__134[[#This Row],[Cereals and products]:[Prepared meals, snacks, sweets etc.]])</f>
        <v>175.25833333333333</v>
      </c>
    </row>
    <row r="344" spans="1:18" x14ac:dyDescent="0.25">
      <c r="A344" t="s">
        <v>30</v>
      </c>
      <c r="B344">
        <v>2022</v>
      </c>
      <c r="C344" t="s">
        <v>50</v>
      </c>
      <c r="D344">
        <v>164.7</v>
      </c>
      <c r="E344">
        <v>208.8</v>
      </c>
      <c r="F344">
        <v>170.3</v>
      </c>
      <c r="G344">
        <v>170.9</v>
      </c>
      <c r="H344">
        <v>191.6</v>
      </c>
      <c r="I344">
        <v>162.19999999999999</v>
      </c>
      <c r="J344">
        <v>184.8</v>
      </c>
      <c r="K344">
        <v>169.7</v>
      </c>
      <c r="L344">
        <v>121.1</v>
      </c>
      <c r="M344">
        <v>201.6</v>
      </c>
      <c r="N344">
        <v>175.8</v>
      </c>
      <c r="O344">
        <v>185.6</v>
      </c>
      <c r="P344">
        <v>177.4</v>
      </c>
      <c r="Q344" s="2">
        <f>AVERAGE(All_India_Index_Upto_April23__134[[#This Row],[Cereals and products]:[Food and beverages]])</f>
        <v>175.73076923076923</v>
      </c>
      <c r="R344" s="2">
        <f>AVERAGE(All_India_Index_Upto_April23__134[[#This Row],[Cereals and products]:[Prepared meals, snacks, sweets etc.]])</f>
        <v>175.59166666666667</v>
      </c>
    </row>
    <row r="345" spans="1:18" x14ac:dyDescent="0.25">
      <c r="A345" t="s">
        <v>33</v>
      </c>
      <c r="B345">
        <v>2022</v>
      </c>
      <c r="C345" t="s">
        <v>50</v>
      </c>
      <c r="D345">
        <v>166.4</v>
      </c>
      <c r="E345">
        <v>214.9</v>
      </c>
      <c r="F345">
        <v>171.9</v>
      </c>
      <c r="G345">
        <v>171</v>
      </c>
      <c r="H345">
        <v>177.7</v>
      </c>
      <c r="I345">
        <v>165.7</v>
      </c>
      <c r="J345">
        <v>228.6</v>
      </c>
      <c r="K345">
        <v>169.9</v>
      </c>
      <c r="L345">
        <v>123.4</v>
      </c>
      <c r="M345">
        <v>196.4</v>
      </c>
      <c r="N345">
        <v>161.6</v>
      </c>
      <c r="O345">
        <v>191.5</v>
      </c>
      <c r="P345">
        <v>183.3</v>
      </c>
      <c r="Q345" s="2">
        <f>AVERAGE(All_India_Index_Upto_April23__134[[#This Row],[Cereals and products]:[Food and beverages]])</f>
        <v>178.63846153846154</v>
      </c>
      <c r="R345" s="2">
        <f>AVERAGE(All_India_Index_Upto_April23__134[[#This Row],[Cereals and products]:[Prepared meals, snacks, sweets etc.]])</f>
        <v>178.25</v>
      </c>
    </row>
    <row r="346" spans="1:18" x14ac:dyDescent="0.25">
      <c r="A346" t="s">
        <v>35</v>
      </c>
      <c r="B346">
        <v>2022</v>
      </c>
      <c r="C346" t="s">
        <v>50</v>
      </c>
      <c r="D346">
        <v>165.2</v>
      </c>
      <c r="E346">
        <v>210.9</v>
      </c>
      <c r="F346">
        <v>170.9</v>
      </c>
      <c r="G346">
        <v>170.9</v>
      </c>
      <c r="H346">
        <v>186.5</v>
      </c>
      <c r="I346">
        <v>163.80000000000001</v>
      </c>
      <c r="J346">
        <v>199.7</v>
      </c>
      <c r="K346">
        <v>169.8</v>
      </c>
      <c r="L346">
        <v>121.9</v>
      </c>
      <c r="M346">
        <v>199.9</v>
      </c>
      <c r="N346">
        <v>169.9</v>
      </c>
      <c r="O346">
        <v>188.3</v>
      </c>
      <c r="P346">
        <v>179.6</v>
      </c>
      <c r="Q346" s="2">
        <f>AVERAGE(All_India_Index_Upto_April23__134[[#This Row],[Cereals and products]:[Food and beverages]])</f>
        <v>176.71538461538464</v>
      </c>
      <c r="R346" s="2">
        <f>AVERAGE(All_India_Index_Upto_April23__134[[#This Row],[Cereals and products]:[Prepared meals, snacks, sweets etc.]])</f>
        <v>176.47500000000002</v>
      </c>
    </row>
    <row r="347" spans="1:18" x14ac:dyDescent="0.25">
      <c r="A347" t="s">
        <v>30</v>
      </c>
      <c r="B347">
        <v>2022</v>
      </c>
      <c r="C347" t="s">
        <v>53</v>
      </c>
      <c r="D347">
        <v>166.9</v>
      </c>
      <c r="E347">
        <v>207.2</v>
      </c>
      <c r="F347">
        <v>180.2</v>
      </c>
      <c r="G347">
        <v>172.3</v>
      </c>
      <c r="H347">
        <v>194</v>
      </c>
      <c r="I347">
        <v>159.1</v>
      </c>
      <c r="J347">
        <v>171.6</v>
      </c>
      <c r="K347">
        <v>170.2</v>
      </c>
      <c r="L347">
        <v>121.5</v>
      </c>
      <c r="M347">
        <v>204.8</v>
      </c>
      <c r="N347">
        <v>176.4</v>
      </c>
      <c r="O347">
        <v>186.9</v>
      </c>
      <c r="P347">
        <v>176.6</v>
      </c>
      <c r="Q347" s="2">
        <f>AVERAGE(All_India_Index_Upto_April23__134[[#This Row],[Cereals and products]:[Food and beverages]])</f>
        <v>175.97692307692307</v>
      </c>
      <c r="R347" s="2">
        <f>AVERAGE(All_India_Index_Upto_April23__134[[#This Row],[Cereals and products]:[Prepared meals, snacks, sweets etc.]])</f>
        <v>175.92499999999998</v>
      </c>
    </row>
    <row r="348" spans="1:18" x14ac:dyDescent="0.25">
      <c r="A348" t="s">
        <v>33</v>
      </c>
      <c r="B348">
        <v>2022</v>
      </c>
      <c r="C348" t="s">
        <v>53</v>
      </c>
      <c r="D348">
        <v>168.4</v>
      </c>
      <c r="E348">
        <v>213.4</v>
      </c>
      <c r="F348">
        <v>183.2</v>
      </c>
      <c r="G348">
        <v>172.3</v>
      </c>
      <c r="H348">
        <v>180</v>
      </c>
      <c r="I348">
        <v>162.6</v>
      </c>
      <c r="J348">
        <v>205.5</v>
      </c>
      <c r="K348">
        <v>171</v>
      </c>
      <c r="L348">
        <v>123.4</v>
      </c>
      <c r="M348">
        <v>198.8</v>
      </c>
      <c r="N348">
        <v>162.1</v>
      </c>
      <c r="O348">
        <v>192.4</v>
      </c>
      <c r="P348">
        <v>181.3</v>
      </c>
      <c r="Q348" s="2">
        <f>AVERAGE(All_India_Index_Upto_April23__134[[#This Row],[Cereals and products]:[Food and beverages]])</f>
        <v>178.03076923076924</v>
      </c>
      <c r="R348" s="2">
        <f>AVERAGE(All_India_Index_Upto_April23__134[[#This Row],[Cereals and products]:[Prepared meals, snacks, sweets etc.]])</f>
        <v>177.75833333333333</v>
      </c>
    </row>
    <row r="349" spans="1:18" x14ac:dyDescent="0.25">
      <c r="A349" t="s">
        <v>35</v>
      </c>
      <c r="B349">
        <v>2022</v>
      </c>
      <c r="C349" t="s">
        <v>53</v>
      </c>
      <c r="D349">
        <v>167.4</v>
      </c>
      <c r="E349">
        <v>209.4</v>
      </c>
      <c r="F349">
        <v>181.4</v>
      </c>
      <c r="G349">
        <v>172.3</v>
      </c>
      <c r="H349">
        <v>188.9</v>
      </c>
      <c r="I349">
        <v>160.69999999999999</v>
      </c>
      <c r="J349">
        <v>183.1</v>
      </c>
      <c r="K349">
        <v>170.5</v>
      </c>
      <c r="L349">
        <v>122.1</v>
      </c>
      <c r="M349">
        <v>202.8</v>
      </c>
      <c r="N349">
        <v>170.4</v>
      </c>
      <c r="O349">
        <v>189.5</v>
      </c>
      <c r="P349">
        <v>178.3</v>
      </c>
      <c r="Q349" s="2">
        <f>AVERAGE(All_India_Index_Upto_April23__134[[#This Row],[Cereals and products]:[Food and beverages]])</f>
        <v>176.67692307692309</v>
      </c>
      <c r="R349" s="2">
        <f>AVERAGE(All_India_Index_Upto_April23__134[[#This Row],[Cereals and products]:[Prepared meals, snacks, sweets etc.]])</f>
        <v>176.54166666666666</v>
      </c>
    </row>
    <row r="350" spans="1:18" x14ac:dyDescent="0.25">
      <c r="A350" t="s">
        <v>30</v>
      </c>
      <c r="B350">
        <v>2022</v>
      </c>
      <c r="C350" t="s">
        <v>55</v>
      </c>
      <c r="D350">
        <v>168.8</v>
      </c>
      <c r="E350">
        <v>206.9</v>
      </c>
      <c r="F350">
        <v>189.1</v>
      </c>
      <c r="G350">
        <v>173.4</v>
      </c>
      <c r="H350">
        <v>193.9</v>
      </c>
      <c r="I350">
        <v>156.69999999999999</v>
      </c>
      <c r="J350">
        <v>150.19999999999999</v>
      </c>
      <c r="K350">
        <v>170.5</v>
      </c>
      <c r="L350">
        <v>121.2</v>
      </c>
      <c r="M350">
        <v>207.5</v>
      </c>
      <c r="N350">
        <v>176.8</v>
      </c>
      <c r="O350">
        <v>187.7</v>
      </c>
      <c r="P350">
        <v>174.4</v>
      </c>
      <c r="Q350" s="2">
        <f>AVERAGE(All_India_Index_Upto_April23__134[[#This Row],[Cereals and products]:[Food and beverages]])</f>
        <v>175.16153846153844</v>
      </c>
      <c r="R350" s="2">
        <f>AVERAGE(All_India_Index_Upto_April23__134[[#This Row],[Cereals and products]:[Prepared meals, snacks, sweets etc.]])</f>
        <v>175.22499999999999</v>
      </c>
    </row>
    <row r="351" spans="1:18" x14ac:dyDescent="0.25">
      <c r="A351" t="s">
        <v>33</v>
      </c>
      <c r="B351">
        <v>2022</v>
      </c>
      <c r="C351" t="s">
        <v>55</v>
      </c>
      <c r="D351">
        <v>170.2</v>
      </c>
      <c r="E351">
        <v>212.9</v>
      </c>
      <c r="F351">
        <v>191.9</v>
      </c>
      <c r="G351">
        <v>173.9</v>
      </c>
      <c r="H351">
        <v>179.1</v>
      </c>
      <c r="I351">
        <v>159.5</v>
      </c>
      <c r="J351">
        <v>178.7</v>
      </c>
      <c r="K351">
        <v>171.3</v>
      </c>
      <c r="L351">
        <v>123.1</v>
      </c>
      <c r="M351">
        <v>200.5</v>
      </c>
      <c r="N351">
        <v>162.80000000000001</v>
      </c>
      <c r="O351">
        <v>193.3</v>
      </c>
      <c r="P351">
        <v>178.6</v>
      </c>
      <c r="Q351" s="2">
        <f>AVERAGE(All_India_Index_Upto_April23__134[[#This Row],[Cereals and products]:[Food and beverages]])</f>
        <v>176.59999999999997</v>
      </c>
      <c r="R351" s="2">
        <f>AVERAGE(All_India_Index_Upto_April23__134[[#This Row],[Cereals and products]:[Prepared meals, snacks, sweets etc.]])</f>
        <v>176.43333333333331</v>
      </c>
    </row>
    <row r="352" spans="1:18" x14ac:dyDescent="0.25">
      <c r="A352" t="s">
        <v>35</v>
      </c>
      <c r="B352">
        <v>2022</v>
      </c>
      <c r="C352" t="s">
        <v>55</v>
      </c>
      <c r="D352">
        <v>169.2</v>
      </c>
      <c r="E352">
        <v>209</v>
      </c>
      <c r="F352">
        <v>190.2</v>
      </c>
      <c r="G352">
        <v>173.6</v>
      </c>
      <c r="H352">
        <v>188.5</v>
      </c>
      <c r="I352">
        <v>158</v>
      </c>
      <c r="J352">
        <v>159.9</v>
      </c>
      <c r="K352">
        <v>170.8</v>
      </c>
      <c r="L352">
        <v>121.8</v>
      </c>
      <c r="M352">
        <v>205.2</v>
      </c>
      <c r="N352">
        <v>171</v>
      </c>
      <c r="O352">
        <v>190.3</v>
      </c>
      <c r="P352">
        <v>175.9</v>
      </c>
      <c r="Q352" s="2">
        <f>AVERAGE(All_India_Index_Upto_April23__134[[#This Row],[Cereals and products]:[Food and beverages]])</f>
        <v>175.64615384615385</v>
      </c>
      <c r="R352" s="2">
        <f>AVERAGE(All_India_Index_Upto_April23__134[[#This Row],[Cereals and products]:[Prepared meals, snacks, sweets etc.]])</f>
        <v>175.625</v>
      </c>
    </row>
    <row r="353" spans="1:18" x14ac:dyDescent="0.25">
      <c r="A353" t="s">
        <v>30</v>
      </c>
      <c r="B353">
        <v>2023</v>
      </c>
      <c r="C353" t="s">
        <v>31</v>
      </c>
      <c r="D353">
        <v>174</v>
      </c>
      <c r="E353">
        <v>208.3</v>
      </c>
      <c r="F353">
        <v>192.9</v>
      </c>
      <c r="G353">
        <v>174.3</v>
      </c>
      <c r="H353">
        <v>192.6</v>
      </c>
      <c r="I353">
        <v>156.30000000000001</v>
      </c>
      <c r="J353">
        <v>142.9</v>
      </c>
      <c r="K353">
        <v>170.7</v>
      </c>
      <c r="L353">
        <v>120.3</v>
      </c>
      <c r="M353">
        <v>210.5</v>
      </c>
      <c r="N353">
        <v>176.9</v>
      </c>
      <c r="O353">
        <v>188.5</v>
      </c>
      <c r="P353">
        <v>175</v>
      </c>
      <c r="Q353" s="2">
        <f>AVERAGE(All_India_Index_Upto_April23__134[[#This Row],[Cereals and products]:[Food and beverages]])</f>
        <v>175.63076923076926</v>
      </c>
      <c r="R353" s="2">
        <f>AVERAGE(All_India_Index_Upto_April23__134[[#This Row],[Cereals and products]:[Prepared meals, snacks, sweets etc.]])</f>
        <v>175.68333333333337</v>
      </c>
    </row>
    <row r="354" spans="1:18" x14ac:dyDescent="0.25">
      <c r="A354" t="s">
        <v>33</v>
      </c>
      <c r="B354">
        <v>2023</v>
      </c>
      <c r="C354" t="s">
        <v>31</v>
      </c>
      <c r="D354">
        <v>173.3</v>
      </c>
      <c r="E354">
        <v>215.2</v>
      </c>
      <c r="F354">
        <v>197</v>
      </c>
      <c r="G354">
        <v>175.2</v>
      </c>
      <c r="H354">
        <v>178</v>
      </c>
      <c r="I354">
        <v>160.5</v>
      </c>
      <c r="J354">
        <v>175.3</v>
      </c>
      <c r="K354">
        <v>171.2</v>
      </c>
      <c r="L354">
        <v>122.7</v>
      </c>
      <c r="M354">
        <v>204.3</v>
      </c>
      <c r="N354">
        <v>163.69999999999999</v>
      </c>
      <c r="O354">
        <v>194.3</v>
      </c>
      <c r="P354">
        <v>179.5</v>
      </c>
      <c r="Q354" s="2">
        <f>AVERAGE(All_India_Index_Upto_April23__134[[#This Row],[Cereals and products]:[Food and beverages]])</f>
        <v>177.70769230769233</v>
      </c>
      <c r="R354" s="2">
        <f>AVERAGE(All_India_Index_Upto_April23__134[[#This Row],[Cereals and products]:[Prepared meals, snacks, sweets etc.]])</f>
        <v>177.55833333333337</v>
      </c>
    </row>
    <row r="355" spans="1:18" x14ac:dyDescent="0.25">
      <c r="A355" t="s">
        <v>35</v>
      </c>
      <c r="B355">
        <v>2023</v>
      </c>
      <c r="C355" t="s">
        <v>31</v>
      </c>
      <c r="D355">
        <v>173.8</v>
      </c>
      <c r="E355">
        <v>210.7</v>
      </c>
      <c r="F355">
        <v>194.5</v>
      </c>
      <c r="G355">
        <v>174.6</v>
      </c>
      <c r="H355">
        <v>187.2</v>
      </c>
      <c r="I355">
        <v>158.30000000000001</v>
      </c>
      <c r="J355">
        <v>153.9</v>
      </c>
      <c r="K355">
        <v>170.9</v>
      </c>
      <c r="L355">
        <v>121.1</v>
      </c>
      <c r="M355">
        <v>208.4</v>
      </c>
      <c r="N355">
        <v>171.4</v>
      </c>
      <c r="O355">
        <v>191.2</v>
      </c>
      <c r="P355">
        <v>176.7</v>
      </c>
      <c r="Q355" s="2">
        <f>AVERAGE(All_India_Index_Upto_April23__134[[#This Row],[Cereals and products]:[Food and beverages]])</f>
        <v>176.36153846153846</v>
      </c>
      <c r="R355" s="2">
        <f>AVERAGE(All_India_Index_Upto_April23__134[[#This Row],[Cereals and products]:[Prepared meals, snacks, sweets etc.]])</f>
        <v>176.33333333333334</v>
      </c>
    </row>
    <row r="356" spans="1:18" x14ac:dyDescent="0.25">
      <c r="A356" t="s">
        <v>30</v>
      </c>
      <c r="B356">
        <v>2023</v>
      </c>
      <c r="C356" t="s">
        <v>36</v>
      </c>
      <c r="D356">
        <v>174.2</v>
      </c>
      <c r="E356">
        <v>205.2</v>
      </c>
      <c r="F356">
        <v>173.9</v>
      </c>
      <c r="G356">
        <v>177</v>
      </c>
      <c r="H356">
        <v>183.4</v>
      </c>
      <c r="I356">
        <v>167.2</v>
      </c>
      <c r="J356">
        <v>140.9</v>
      </c>
      <c r="K356">
        <v>170.4</v>
      </c>
      <c r="L356">
        <v>119.1</v>
      </c>
      <c r="M356">
        <v>212.1</v>
      </c>
      <c r="N356">
        <v>177.6</v>
      </c>
      <c r="O356">
        <v>189.9</v>
      </c>
      <c r="P356">
        <v>174.8</v>
      </c>
      <c r="Q356" s="2">
        <f>AVERAGE(All_India_Index_Upto_April23__134[[#This Row],[Cereals and products]:[Food and beverages]])</f>
        <v>174.28461538461536</v>
      </c>
      <c r="R356" s="2">
        <f>AVERAGE(All_India_Index_Upto_April23__134[[#This Row],[Cereals and products]:[Prepared meals, snacks, sweets etc.]])</f>
        <v>174.24166666666665</v>
      </c>
    </row>
    <row r="357" spans="1:18" x14ac:dyDescent="0.25">
      <c r="A357" t="s">
        <v>33</v>
      </c>
      <c r="B357">
        <v>2023</v>
      </c>
      <c r="C357" t="s">
        <v>36</v>
      </c>
      <c r="D357">
        <v>174.7</v>
      </c>
      <c r="E357">
        <v>212.2</v>
      </c>
      <c r="F357">
        <v>177.2</v>
      </c>
      <c r="G357">
        <v>177.9</v>
      </c>
      <c r="H357">
        <v>172.2</v>
      </c>
      <c r="I357">
        <v>172.1</v>
      </c>
      <c r="J357">
        <v>175.8</v>
      </c>
      <c r="K357">
        <v>172.2</v>
      </c>
      <c r="L357">
        <v>121.9</v>
      </c>
      <c r="M357">
        <v>204.8</v>
      </c>
      <c r="N357">
        <v>164.9</v>
      </c>
      <c r="O357">
        <v>196.6</v>
      </c>
      <c r="P357">
        <v>180.7</v>
      </c>
      <c r="Q357" s="2">
        <f>AVERAGE(All_India_Index_Upto_April23__134[[#This Row],[Cereals and products]:[Food and beverages]])</f>
        <v>177.16923076923075</v>
      </c>
      <c r="R357" s="2">
        <f>AVERAGE(All_India_Index_Upto_April23__134[[#This Row],[Cereals and products]:[Prepared meals, snacks, sweets etc.]])</f>
        <v>176.875</v>
      </c>
    </row>
    <row r="358" spans="1:18" x14ac:dyDescent="0.25">
      <c r="A358" t="s">
        <v>35</v>
      </c>
      <c r="B358">
        <v>2023</v>
      </c>
      <c r="C358" t="s">
        <v>36</v>
      </c>
      <c r="D358">
        <v>174.4</v>
      </c>
      <c r="E358">
        <v>207.7</v>
      </c>
      <c r="F358">
        <v>175.2</v>
      </c>
      <c r="G358">
        <v>177.3</v>
      </c>
      <c r="H358">
        <v>179.3</v>
      </c>
      <c r="I358">
        <v>169.5</v>
      </c>
      <c r="J358">
        <v>152.69999999999999</v>
      </c>
      <c r="K358">
        <v>171</v>
      </c>
      <c r="L358">
        <v>120</v>
      </c>
      <c r="M358">
        <v>209.7</v>
      </c>
      <c r="N358">
        <v>172.3</v>
      </c>
      <c r="O358">
        <v>193</v>
      </c>
      <c r="P358">
        <v>177</v>
      </c>
      <c r="Q358" s="2">
        <f>AVERAGE(All_India_Index_Upto_April23__134[[#This Row],[Cereals and products]:[Food and beverages]])</f>
        <v>175.3153846153846</v>
      </c>
      <c r="R358" s="2">
        <f>AVERAGE(All_India_Index_Upto_April23__134[[#This Row],[Cereals and products]:[Prepared meals, snacks, sweets etc.]])</f>
        <v>175.17499999999998</v>
      </c>
    </row>
    <row r="359" spans="1:18" x14ac:dyDescent="0.25">
      <c r="A359" t="s">
        <v>30</v>
      </c>
      <c r="B359">
        <v>2023</v>
      </c>
      <c r="C359" t="s">
        <v>38</v>
      </c>
      <c r="D359">
        <v>174.3</v>
      </c>
      <c r="E359">
        <v>205.2</v>
      </c>
      <c r="F359">
        <v>173.9</v>
      </c>
      <c r="G359">
        <v>177</v>
      </c>
      <c r="H359">
        <v>183.3</v>
      </c>
      <c r="I359">
        <v>167.2</v>
      </c>
      <c r="J359">
        <v>140.9</v>
      </c>
      <c r="K359">
        <v>170.5</v>
      </c>
      <c r="L359">
        <v>119.1</v>
      </c>
      <c r="M359">
        <v>212.1</v>
      </c>
      <c r="N359">
        <v>177.6</v>
      </c>
      <c r="O359">
        <v>189.9</v>
      </c>
      <c r="P359">
        <v>174.8</v>
      </c>
      <c r="Q359" s="2">
        <f>AVERAGE(All_India_Index_Upto_April23__134[[#This Row],[Cereals and products]:[Food and beverages]])</f>
        <v>174.2923076923077</v>
      </c>
      <c r="R359" s="2">
        <f>AVERAGE(All_India_Index_Upto_April23__134[[#This Row],[Cereals and products]:[Prepared meals, snacks, sweets etc.]])</f>
        <v>174.25</v>
      </c>
    </row>
    <row r="360" spans="1:18" x14ac:dyDescent="0.25">
      <c r="A360" t="s">
        <v>33</v>
      </c>
      <c r="B360">
        <v>2023</v>
      </c>
      <c r="C360" t="s">
        <v>38</v>
      </c>
      <c r="D360">
        <v>174.7</v>
      </c>
      <c r="E360">
        <v>212.2</v>
      </c>
      <c r="F360">
        <v>177.2</v>
      </c>
      <c r="G360">
        <v>177.9</v>
      </c>
      <c r="H360">
        <v>172.2</v>
      </c>
      <c r="I360">
        <v>172.1</v>
      </c>
      <c r="J360">
        <v>175.9</v>
      </c>
      <c r="K360">
        <v>172.2</v>
      </c>
      <c r="L360">
        <v>121.9</v>
      </c>
      <c r="M360">
        <v>204.8</v>
      </c>
      <c r="N360">
        <v>164.9</v>
      </c>
      <c r="O360">
        <v>196.6</v>
      </c>
      <c r="P360">
        <v>180.8</v>
      </c>
      <c r="Q360" s="2">
        <f>AVERAGE(All_India_Index_Upto_April23__134[[#This Row],[Cereals and products]:[Food and beverages]])</f>
        <v>177.1846153846154</v>
      </c>
      <c r="R360" s="2">
        <f>AVERAGE(All_India_Index_Upto_April23__134[[#This Row],[Cereals and products]:[Prepared meals, snacks, sweets etc.]])</f>
        <v>176.88333333333333</v>
      </c>
    </row>
    <row r="361" spans="1:18" x14ac:dyDescent="0.25">
      <c r="A361" t="s">
        <v>35</v>
      </c>
      <c r="B361">
        <v>2023</v>
      </c>
      <c r="C361" t="s">
        <v>38</v>
      </c>
      <c r="D361">
        <v>174.4</v>
      </c>
      <c r="E361">
        <v>207.7</v>
      </c>
      <c r="F361">
        <v>175.2</v>
      </c>
      <c r="G361">
        <v>177.3</v>
      </c>
      <c r="H361">
        <v>179.2</v>
      </c>
      <c r="I361">
        <v>169.5</v>
      </c>
      <c r="J361">
        <v>152.80000000000001</v>
      </c>
      <c r="K361">
        <v>171.1</v>
      </c>
      <c r="L361">
        <v>120</v>
      </c>
      <c r="M361">
        <v>209.7</v>
      </c>
      <c r="N361">
        <v>172.3</v>
      </c>
      <c r="O361">
        <v>193</v>
      </c>
      <c r="P361">
        <v>177</v>
      </c>
      <c r="Q361" s="2">
        <f>AVERAGE(All_India_Index_Upto_April23__134[[#This Row],[Cereals and products]:[Food and beverages]])</f>
        <v>175.32307692307691</v>
      </c>
      <c r="R361" s="2">
        <f>AVERAGE(All_India_Index_Upto_April23__134[[#This Row],[Cereals and products]:[Prepared meals, snacks, sweets etc.]])</f>
        <v>175.18333333333331</v>
      </c>
    </row>
    <row r="362" spans="1:18" x14ac:dyDescent="0.25">
      <c r="A362" t="s">
        <v>30</v>
      </c>
      <c r="B362">
        <v>2023</v>
      </c>
      <c r="C362" t="s">
        <v>39</v>
      </c>
      <c r="D362">
        <v>173.3</v>
      </c>
      <c r="E362">
        <v>206.9</v>
      </c>
      <c r="F362">
        <v>167.9</v>
      </c>
      <c r="G362">
        <v>178.2</v>
      </c>
      <c r="H362">
        <v>178.5</v>
      </c>
      <c r="I362">
        <v>173.7</v>
      </c>
      <c r="J362">
        <v>142.80000000000001</v>
      </c>
      <c r="K362">
        <v>172.8</v>
      </c>
      <c r="L362">
        <v>120.4</v>
      </c>
      <c r="M362">
        <v>215.5</v>
      </c>
      <c r="N362">
        <v>178.2</v>
      </c>
      <c r="O362">
        <v>190.5</v>
      </c>
      <c r="P362">
        <v>175.5</v>
      </c>
      <c r="Q362" s="2">
        <f>AVERAGE(All_India_Index_Upto_April23__134[[#This Row],[Cereals and products]:[Food and beverages]])</f>
        <v>174.93846153846152</v>
      </c>
      <c r="R362" s="2">
        <f>AVERAGE(All_India_Index_Upto_April23__134[[#This Row],[Cereals and products]:[Prepared meals, snacks, sweets etc.]])</f>
        <v>174.89166666666665</v>
      </c>
    </row>
    <row r="363" spans="1:18" x14ac:dyDescent="0.25">
      <c r="A363" t="s">
        <v>33</v>
      </c>
      <c r="B363">
        <v>2023</v>
      </c>
      <c r="C363" t="s">
        <v>39</v>
      </c>
      <c r="D363">
        <v>174.8</v>
      </c>
      <c r="E363">
        <v>213.7</v>
      </c>
      <c r="F363">
        <v>172.4</v>
      </c>
      <c r="G363">
        <v>178.8</v>
      </c>
      <c r="H363">
        <v>168.7</v>
      </c>
      <c r="I363">
        <v>179.2</v>
      </c>
      <c r="J363">
        <v>179.9</v>
      </c>
      <c r="K363">
        <v>174.7</v>
      </c>
      <c r="L363">
        <v>123.1</v>
      </c>
      <c r="M363">
        <v>207.8</v>
      </c>
      <c r="N363">
        <v>165.5</v>
      </c>
      <c r="O363">
        <v>197</v>
      </c>
      <c r="P363">
        <v>182.1</v>
      </c>
      <c r="Q363" s="2">
        <f>AVERAGE(All_India_Index_Upto_April23__134[[#This Row],[Cereals and products]:[Food and beverages]])</f>
        <v>178.28461538461539</v>
      </c>
      <c r="R363" s="2">
        <f>AVERAGE(All_India_Index_Upto_April23__134[[#This Row],[Cereals and products]:[Prepared meals, snacks, sweets etc.]])</f>
        <v>177.9666666666667</v>
      </c>
    </row>
    <row r="364" spans="1:18" x14ac:dyDescent="0.25">
      <c r="A364" t="s">
        <v>35</v>
      </c>
      <c r="B364">
        <v>2023</v>
      </c>
      <c r="C364" t="s">
        <v>39</v>
      </c>
      <c r="D364">
        <v>173.8</v>
      </c>
      <c r="E364">
        <v>209.3</v>
      </c>
      <c r="F364">
        <v>169.6</v>
      </c>
      <c r="G364">
        <v>178.4</v>
      </c>
      <c r="H364">
        <v>174.9</v>
      </c>
      <c r="I364">
        <v>176.3</v>
      </c>
      <c r="J364">
        <v>155.4</v>
      </c>
      <c r="K364">
        <v>173.4</v>
      </c>
      <c r="L364">
        <v>121.3</v>
      </c>
      <c r="M364">
        <v>212.9</v>
      </c>
      <c r="N364">
        <v>172.9</v>
      </c>
      <c r="O364">
        <v>193.5</v>
      </c>
      <c r="P364">
        <v>177.9</v>
      </c>
      <c r="Q364" s="2">
        <f>AVERAGE(All_India_Index_Upto_April23__134[[#This Row],[Cereals and products]:[Food and beverages]])</f>
        <v>176.12307692307695</v>
      </c>
      <c r="R364" s="2">
        <f>AVERAGE(All_India_Index_Upto_April23__134[[#This Row],[Cereals and products]:[Prepared meals, snacks, sweets etc.]])</f>
        <v>175.97500000000002</v>
      </c>
    </row>
    <row r="365" spans="1:18" x14ac:dyDescent="0.25">
      <c r="A365" t="s">
        <v>30</v>
      </c>
      <c r="B365">
        <v>2023</v>
      </c>
      <c r="C365" t="s">
        <v>41</v>
      </c>
      <c r="D365">
        <v>173.2</v>
      </c>
      <c r="E365">
        <v>211.5</v>
      </c>
      <c r="F365">
        <v>171</v>
      </c>
      <c r="G365">
        <v>179.6</v>
      </c>
      <c r="H365">
        <v>173.3</v>
      </c>
      <c r="I365">
        <v>169</v>
      </c>
      <c r="J365">
        <v>148.69999999999999</v>
      </c>
      <c r="K365">
        <v>174.9</v>
      </c>
      <c r="L365">
        <v>121.9</v>
      </c>
      <c r="M365">
        <v>221</v>
      </c>
      <c r="N365">
        <v>178.7</v>
      </c>
      <c r="O365">
        <v>191.1</v>
      </c>
      <c r="P365">
        <v>176.8</v>
      </c>
      <c r="Q365" s="2">
        <f>AVERAGE(All_India_Index_Upto_April23__134[[#This Row],[Cereals and products]:[Food and beverages]])</f>
        <v>176.20769230769235</v>
      </c>
      <c r="R365" s="2">
        <f>AVERAGE(All_India_Index_Upto_April23__134[[#This Row],[Cereals and products]:[Prepared meals, snacks, sweets etc.]])</f>
        <v>176.15833333333339</v>
      </c>
    </row>
    <row r="366" spans="1:18" x14ac:dyDescent="0.25">
      <c r="A366" t="s">
        <v>33</v>
      </c>
      <c r="B366">
        <v>2023</v>
      </c>
      <c r="C366" t="s">
        <v>41</v>
      </c>
      <c r="D366">
        <v>174.7</v>
      </c>
      <c r="E366">
        <v>219.4</v>
      </c>
      <c r="F366">
        <v>176.7</v>
      </c>
      <c r="G366">
        <v>179.4</v>
      </c>
      <c r="H366">
        <v>164.4</v>
      </c>
      <c r="I366">
        <v>175.8</v>
      </c>
      <c r="J366">
        <v>185</v>
      </c>
      <c r="K366">
        <v>176.9</v>
      </c>
      <c r="L366">
        <v>124.2</v>
      </c>
      <c r="M366">
        <v>211.9</v>
      </c>
      <c r="N366">
        <v>165.9</v>
      </c>
      <c r="O366">
        <v>197.7</v>
      </c>
      <c r="P366">
        <v>183.1</v>
      </c>
      <c r="Q366" s="2">
        <f>AVERAGE(All_India_Index_Upto_April23__134[[#This Row],[Cereals and products]:[Food and beverages]])</f>
        <v>179.62307692307692</v>
      </c>
      <c r="R366" s="2">
        <f>AVERAGE(All_India_Index_Upto_April23__134[[#This Row],[Cereals and products]:[Prepared meals, snacks, sweets etc.]])</f>
        <v>179.33333333333334</v>
      </c>
    </row>
    <row r="367" spans="1:18" x14ac:dyDescent="0.25">
      <c r="A367" t="s">
        <v>35</v>
      </c>
      <c r="B367">
        <v>2023</v>
      </c>
      <c r="C367" t="s">
        <v>41</v>
      </c>
      <c r="D367">
        <v>173.7</v>
      </c>
      <c r="E367">
        <v>214.3</v>
      </c>
      <c r="F367">
        <v>173.2</v>
      </c>
      <c r="G367">
        <v>179.5</v>
      </c>
      <c r="H367">
        <v>170</v>
      </c>
      <c r="I367">
        <v>172.2</v>
      </c>
      <c r="J367">
        <v>161</v>
      </c>
      <c r="K367">
        <v>175.6</v>
      </c>
      <c r="L367">
        <v>122.7</v>
      </c>
      <c r="M367">
        <v>218</v>
      </c>
      <c r="N367">
        <v>173.4</v>
      </c>
      <c r="O367">
        <v>194.2</v>
      </c>
      <c r="P367">
        <v>179.1</v>
      </c>
      <c r="Q367" s="2">
        <f>AVERAGE(All_India_Index_Upto_April23__134[[#This Row],[Cereals and products]:[Food and beverages]])</f>
        <v>177.45384615384617</v>
      </c>
      <c r="R367" s="2">
        <f>AVERAGE(All_India_Index_Upto_April23__134[[#This Row],[Cereals and products]:[Prepared meals, snacks, sweets etc.]])</f>
        <v>177.31666666666669</v>
      </c>
    </row>
    <row r="369" spans="1:22" x14ac:dyDescent="0.25">
      <c r="O369" s="2"/>
    </row>
    <row r="370" spans="1:22" x14ac:dyDescent="0.25">
      <c r="G370" s="56" t="s">
        <v>178</v>
      </c>
      <c r="H370" s="56"/>
      <c r="I370" s="56"/>
      <c r="J370" s="56"/>
      <c r="K370" s="56"/>
      <c r="L370" s="56"/>
    </row>
    <row r="371" spans="1:22" x14ac:dyDescent="0.25">
      <c r="B371" s="13" t="s">
        <v>30</v>
      </c>
      <c r="C371" s="13" t="s">
        <v>33</v>
      </c>
      <c r="D371" s="13" t="s">
        <v>35</v>
      </c>
      <c r="E371" s="13" t="s">
        <v>167</v>
      </c>
      <c r="G371" s="29" t="s">
        <v>176</v>
      </c>
      <c r="H371" s="29" t="s">
        <v>179</v>
      </c>
      <c r="I371" s="29" t="s">
        <v>30</v>
      </c>
      <c r="J371" s="29" t="s">
        <v>33</v>
      </c>
      <c r="K371" s="29" t="s">
        <v>35</v>
      </c>
      <c r="L371" s="29" t="s">
        <v>175</v>
      </c>
      <c r="N371" s="41" t="s">
        <v>182</v>
      </c>
      <c r="O371" s="41">
        <v>44713</v>
      </c>
      <c r="P371" s="41">
        <v>45047</v>
      </c>
      <c r="Q371" s="41" t="s">
        <v>181</v>
      </c>
      <c r="S371" s="44"/>
      <c r="T371" s="44"/>
      <c r="U371" s="44"/>
      <c r="V371" s="44"/>
    </row>
    <row r="372" spans="1:22" x14ac:dyDescent="0.25">
      <c r="A372" s="12" t="s">
        <v>3</v>
      </c>
      <c r="B372" s="15">
        <v>173.2</v>
      </c>
      <c r="C372" s="15">
        <v>174.7</v>
      </c>
      <c r="D372" s="15">
        <v>173.7</v>
      </c>
      <c r="E372" s="15" t="s">
        <v>168</v>
      </c>
      <c r="G372" s="15">
        <v>2022</v>
      </c>
      <c r="H372" s="30" t="s">
        <v>42</v>
      </c>
      <c r="I372" s="31">
        <f>AVERAGEIFS(All_India_Index_Upto_April23__134[[#All],[Food buckts avg2]],All_India_Index_Upto_April23__134[[#All],[Year]],$G372,All_India_Index_Upto_April23__134[[#All],[Month]],$H372,All_India_Index_Upto_April23__134[[#All],[Sector]],I$371)</f>
        <v>172.99166666666667</v>
      </c>
      <c r="J372" s="31">
        <f>AVERAGEIFS(All_India_Index_Upto_April23__134[[#All],[Food buckts avg2]],All_India_Index_Upto_April23__134[[#All],[Year]],$G372,All_India_Index_Upto_April23__134[[#All],[Month]],$H372,All_India_Index_Upto_April23__134[[#All],[Sector]],J$371)</f>
        <v>175.68333333333331</v>
      </c>
      <c r="K372" s="31">
        <f>AVERAGEIFS(All_India_Index_Upto_April23__134[[#All],[Food buckts avg2]],All_India_Index_Upto_April23__134[[#All],[Year]],$G372,All_India_Index_Upto_April23__134[[#All],[Month]],$H372,All_India_Index_Upto_April23__134[[#All],[Sector]],K$371)</f>
        <v>173.91666666666666</v>
      </c>
      <c r="L372" s="15"/>
      <c r="N372" s="42" t="s">
        <v>3</v>
      </c>
      <c r="O372" s="15" cm="1">
        <f t="array" ref="O372">AVERAGEIFS(cer_pro,months,"june",year,"2022",sector,"Rural+Urban")</f>
        <v>155</v>
      </c>
      <c r="P372" s="15" cm="1">
        <f t="array" ref="P372">AVERAGEIFS(cer_pro,months,"may",year,"2023",sector,"Rural+Urban")</f>
        <v>173.7</v>
      </c>
      <c r="Q372" s="18">
        <f>(P372-O372)/O372</f>
        <v>0.1206451612903225</v>
      </c>
      <c r="S372" s="40"/>
      <c r="V372" s="45"/>
    </row>
    <row r="373" spans="1:22" x14ac:dyDescent="0.25">
      <c r="A373" s="12" t="s">
        <v>4</v>
      </c>
      <c r="B373" s="15">
        <v>211.5</v>
      </c>
      <c r="C373" s="15">
        <v>219.4</v>
      </c>
      <c r="D373" s="15">
        <v>214.3</v>
      </c>
      <c r="E373" s="15" t="s">
        <v>168</v>
      </c>
      <c r="G373" s="15">
        <v>2022</v>
      </c>
      <c r="H373" s="30" t="s">
        <v>44</v>
      </c>
      <c r="I373" s="31">
        <f>AVERAGEIFS(All_India_Index_Upto_April23__134[[#All],[Food buckts avg2]],All_India_Index_Upto_April23__134[[#All],[Year]],$G373,All_India_Index_Upto_April23__134[[#All],[Month]],$H373,All_India_Index_Upto_April23__134[[#All],[Sector]],I$371)</f>
        <v>173.33333333333334</v>
      </c>
      <c r="J373" s="31">
        <f>AVERAGEIFS(All_India_Index_Upto_April23__134[[#All],[Food buckts avg2]],All_India_Index_Upto_April23__134[[#All],[Year]],$G373,All_India_Index_Upto_April23__134[[#All],[Month]],$H373,All_India_Index_Upto_April23__134[[#All],[Sector]],J$371)</f>
        <v>176.01666666666665</v>
      </c>
      <c r="K373" s="31">
        <f>AVERAGEIFS(All_India_Index_Upto_April23__134[[#All],[Food buckts avg2]],All_India_Index_Upto_April23__134[[#All],[Year]],$G373,All_India_Index_Upto_April23__134[[#All],[Month]],$H373,All_India_Index_Upto_April23__134[[#All],[Sector]],K$371)</f>
        <v>174.27500000000001</v>
      </c>
      <c r="L373" s="18">
        <f>(K373-K372)/K372*100</f>
        <v>0.20603737422137913</v>
      </c>
      <c r="N373" s="42" t="s">
        <v>4</v>
      </c>
      <c r="O373" s="15" cm="1">
        <f t="array" ref="O373">AVERAGEIFS(meat_fish,months,"june",year,"2022",sector,"Rural+Urban")</f>
        <v>219.4</v>
      </c>
      <c r="P373" s="15" cm="1">
        <f t="array" ref="P373">AVERAGEIFS(meat_fish,months,"May",year,"2023",sector,"Rural+Urban")</f>
        <v>214.3</v>
      </c>
      <c r="Q373" s="18">
        <f t="shared" ref="Q373:Q383" si="0">(P373-O373)/O373</f>
        <v>-2.3245214220601614E-2</v>
      </c>
      <c r="S373" s="40"/>
      <c r="V373" s="45"/>
    </row>
    <row r="374" spans="1:22" x14ac:dyDescent="0.25">
      <c r="A374" s="12" t="s">
        <v>5</v>
      </c>
      <c r="B374" s="15">
        <v>171</v>
      </c>
      <c r="C374" s="15">
        <v>176.7</v>
      </c>
      <c r="D374" s="15">
        <v>173.2</v>
      </c>
      <c r="E374" s="15" t="s">
        <v>168</v>
      </c>
      <c r="G374" s="15">
        <v>2022</v>
      </c>
      <c r="H374" s="30" t="s">
        <v>46</v>
      </c>
      <c r="I374" s="31">
        <f>AVERAGEIFS(All_India_Index_Upto_April23__134[[#All],[Food buckts avg2]],All_India_Index_Upto_April23__134[[#All],[Year]],$G374,All_India_Index_Upto_April23__134[[#All],[Month]],$H374,All_India_Index_Upto_April23__134[[#All],[Sector]],I$371)</f>
        <v>173.49166666666665</v>
      </c>
      <c r="J374" s="31">
        <f>AVERAGEIFS(All_India_Index_Upto_April23__134[[#All],[Food buckts avg2]],All_India_Index_Upto_April23__134[[#All],[Year]],$G374,All_India_Index_Upto_April23__134[[#All],[Month]],$H374,All_India_Index_Upto_April23__134[[#All],[Sector]],J$371)</f>
        <v>176.10833333333332</v>
      </c>
      <c r="K374" s="31">
        <f>AVERAGEIFS(All_India_Index_Upto_April23__134[[#All],[Food buckts avg2]],All_India_Index_Upto_April23__134[[#All],[Year]],$G374,All_India_Index_Upto_April23__134[[#All],[Month]],$H374,All_India_Index_Upto_April23__134[[#All],[Sector]],K$371)</f>
        <v>174.40833333333333</v>
      </c>
      <c r="L374" s="18">
        <f t="shared" ref="L374:L382" si="1">(K374-K373)/K373*100</f>
        <v>7.6507435566389753E-2</v>
      </c>
      <c r="N374" s="42" t="s">
        <v>5</v>
      </c>
      <c r="O374" s="15" cm="1">
        <f t="array" ref="O374">AVERAGEIFS(egg,months,"june",year,"2022",sector,"Rural+Urban")</f>
        <v>170.8</v>
      </c>
      <c r="P374" s="15" cm="1">
        <f t="array" ref="P374">AVERAGEIFS(egg,months,"may",year,"2022",sector,"Rural+Urban")</f>
        <v>162.4</v>
      </c>
      <c r="Q374" s="18">
        <f t="shared" si="0"/>
        <v>-4.9180327868852486E-2</v>
      </c>
      <c r="S374" s="40"/>
      <c r="V374" s="45"/>
    </row>
    <row r="375" spans="1:22" x14ac:dyDescent="0.25">
      <c r="A375" s="12" t="s">
        <v>6</v>
      </c>
      <c r="B375" s="15">
        <v>179.6</v>
      </c>
      <c r="C375" s="15">
        <v>179.4</v>
      </c>
      <c r="D375" s="15">
        <v>179.5</v>
      </c>
      <c r="E375" s="15" t="s">
        <v>168</v>
      </c>
      <c r="G375" s="15">
        <v>2022</v>
      </c>
      <c r="H375" s="30" t="s">
        <v>48</v>
      </c>
      <c r="I375" s="31">
        <f>AVERAGEIFS(All_India_Index_Upto_April23__134[[#All],[Food buckts avg2]],All_India_Index_Upto_April23__134[[#All],[Year]],$G375,All_India_Index_Upto_April23__134[[#All],[Month]],$H375,All_India_Index_Upto_April23__134[[#All],[Sector]],I$371)</f>
        <v>174.35833333333335</v>
      </c>
      <c r="J375" s="31">
        <f>AVERAGEIFS(All_India_Index_Upto_April23__134[[#All],[Food buckts avg2]],All_India_Index_Upto_April23__134[[#All],[Year]],$G375,All_India_Index_Upto_April23__134[[#All],[Month]],$H375,All_India_Index_Upto_April23__134[[#All],[Sector]],J$371)</f>
        <v>177.04999999999998</v>
      </c>
      <c r="K375" s="31">
        <f>AVERAGEIFS(All_India_Index_Upto_April23__134[[#All],[Food buckts avg2]],All_India_Index_Upto_April23__134[[#All],[Year]],$G375,All_India_Index_Upto_April23__134[[#All],[Month]],$H375,All_India_Index_Upto_April23__134[[#All],[Sector]],K$371)</f>
        <v>175.25833333333333</v>
      </c>
      <c r="L375" s="18">
        <f t="shared" si="1"/>
        <v>0.487362033541972</v>
      </c>
      <c r="N375" s="42" t="s">
        <v>6</v>
      </c>
      <c r="O375" s="15" cm="1">
        <f t="array" ref="O375">AVERAGEIFS(Milk_pro,months,"june",year,"2022",sector,"Rural+Urban")</f>
        <v>165.8</v>
      </c>
      <c r="P375" s="15" cm="1">
        <f t="array" ref="P375">AVERAGEIFS(Milk_pro,months,"may",year,"2023",sector,"Rural+Urban")</f>
        <v>179.5</v>
      </c>
      <c r="Q375" s="18">
        <f t="shared" si="0"/>
        <v>8.2629674306393175E-2</v>
      </c>
      <c r="S375" s="40"/>
      <c r="V375" s="45"/>
    </row>
    <row r="376" spans="1:22" x14ac:dyDescent="0.25">
      <c r="A376" s="12" t="s">
        <v>7</v>
      </c>
      <c r="B376" s="15">
        <v>173.3</v>
      </c>
      <c r="C376" s="15">
        <v>164.4</v>
      </c>
      <c r="D376" s="15">
        <v>170</v>
      </c>
      <c r="E376" s="15" t="s">
        <v>168</v>
      </c>
      <c r="G376" s="15">
        <v>2022</v>
      </c>
      <c r="H376" s="30" t="s">
        <v>50</v>
      </c>
      <c r="I376" s="31">
        <f>AVERAGEIFS(All_India_Index_Upto_April23__134[[#All],[Food buckts avg2]],All_India_Index_Upto_April23__134[[#All],[Year]],$G376,All_India_Index_Upto_April23__134[[#All],[Month]],$H376,All_India_Index_Upto_April23__134[[#All],[Sector]],I$371)</f>
        <v>175.59166666666667</v>
      </c>
      <c r="J376" s="31">
        <f>AVERAGEIFS(All_India_Index_Upto_April23__134[[#All],[Food buckts avg2]],All_India_Index_Upto_April23__134[[#All],[Year]],$G376,All_India_Index_Upto_April23__134[[#All],[Month]],$H376,All_India_Index_Upto_April23__134[[#All],[Sector]],J$371)</f>
        <v>178.25</v>
      </c>
      <c r="K376" s="31">
        <f>AVERAGEIFS(All_India_Index_Upto_April23__134[[#All],[Food buckts avg2]],All_India_Index_Upto_April23__134[[#All],[Year]],$G376,All_India_Index_Upto_April23__134[[#All],[Month]],$H376,All_India_Index_Upto_April23__134[[#All],[Sector]],K$371)</f>
        <v>176.47500000000002</v>
      </c>
      <c r="L376" s="21">
        <f>(K376-K375)/K375*100</f>
        <v>0.694213304170052</v>
      </c>
      <c r="N376" s="42" t="s">
        <v>7</v>
      </c>
      <c r="O376" s="15" cm="1">
        <f t="array" ref="O376">AVERAGEIFS(oils_fts,months,"june",year,"2022",sector,"Rural+Urban")</f>
        <v>200.9</v>
      </c>
      <c r="P376" s="15" cm="1">
        <f t="array" ref="P376">AVERAGEIFS(oils_fts,months,"may",year,"2023",sector,"Rural+Urban")</f>
        <v>170</v>
      </c>
      <c r="Q376" s="18">
        <f t="shared" si="0"/>
        <v>-0.15380786460925835</v>
      </c>
      <c r="S376" s="40"/>
      <c r="V376" s="45"/>
    </row>
    <row r="377" spans="1:22" x14ac:dyDescent="0.25">
      <c r="A377" s="12" t="s">
        <v>8</v>
      </c>
      <c r="B377" s="15">
        <v>169</v>
      </c>
      <c r="C377" s="15">
        <v>175.8</v>
      </c>
      <c r="D377" s="15">
        <v>172.2</v>
      </c>
      <c r="E377" s="15" t="s">
        <v>168</v>
      </c>
      <c r="G377" s="15">
        <v>2022</v>
      </c>
      <c r="H377" s="30" t="s">
        <v>53</v>
      </c>
      <c r="I377" s="31">
        <f>AVERAGEIFS(All_India_Index_Upto_April23__134[[#All],[Food buckts avg2]],All_India_Index_Upto_April23__134[[#All],[Year]],$G377,All_India_Index_Upto_April23__134[[#All],[Month]],$H377,All_India_Index_Upto_April23__134[[#All],[Sector]],I$371)</f>
        <v>175.92499999999998</v>
      </c>
      <c r="J377" s="31">
        <f>AVERAGEIFS(All_India_Index_Upto_April23__134[[#All],[Food buckts avg2]],All_India_Index_Upto_April23__134[[#All],[Year]],$G377,All_India_Index_Upto_April23__134[[#All],[Month]],$H377,All_India_Index_Upto_April23__134[[#All],[Sector]],J$371)</f>
        <v>177.75833333333333</v>
      </c>
      <c r="K377" s="31">
        <f>AVERAGEIFS(All_India_Index_Upto_April23__134[[#All],[Food buckts avg2]],All_India_Index_Upto_April23__134[[#All],[Year]],$G377,All_India_Index_Upto_April23__134[[#All],[Month]],$H377,All_India_Index_Upto_April23__134[[#All],[Sector]],K$371)</f>
        <v>176.54166666666666</v>
      </c>
      <c r="L377" s="18">
        <f t="shared" si="1"/>
        <v>3.7776833356925596E-2</v>
      </c>
      <c r="N377" s="42" t="s">
        <v>8</v>
      </c>
      <c r="O377" s="15" cm="1">
        <f t="array" ref="O377">AVERAGEIFS(fruits,months,"june",year,"2022",sector,"Rural+Urban")</f>
        <v>169.7</v>
      </c>
      <c r="P377" s="15" cm="1">
        <f t="array" ref="P377">AVERAGEIFS(fruits,months,"may",year,"2023",sector,"Rural+Urban")</f>
        <v>172.2</v>
      </c>
      <c r="Q377" s="18">
        <f t="shared" si="0"/>
        <v>1.4731879787860933E-2</v>
      </c>
      <c r="S377" s="40"/>
      <c r="V377" s="45"/>
    </row>
    <row r="378" spans="1:22" x14ac:dyDescent="0.25">
      <c r="A378" s="12" t="s">
        <v>9</v>
      </c>
      <c r="B378" s="15">
        <v>148.69999999999999</v>
      </c>
      <c r="C378" s="15">
        <v>185</v>
      </c>
      <c r="D378" s="15">
        <v>161</v>
      </c>
      <c r="E378" s="15" t="s">
        <v>168</v>
      </c>
      <c r="G378" s="15">
        <v>2022</v>
      </c>
      <c r="H378" s="30" t="s">
        <v>55</v>
      </c>
      <c r="I378" s="31">
        <f>AVERAGEIFS(All_India_Index_Upto_April23__134[[#All],[Food buckts avg2]],All_India_Index_Upto_April23__134[[#All],[Year]],$G378,All_India_Index_Upto_April23__134[[#All],[Month]],$H378,All_India_Index_Upto_April23__134[[#All],[Sector]],I$371)</f>
        <v>175.22499999999999</v>
      </c>
      <c r="J378" s="31">
        <f>AVERAGEIFS(All_India_Index_Upto_April23__134[[#All],[Food buckts avg2]],All_India_Index_Upto_April23__134[[#All],[Year]],$G378,All_India_Index_Upto_April23__134[[#All],[Month]],$H378,All_India_Index_Upto_April23__134[[#All],[Sector]],J$371)</f>
        <v>176.43333333333331</v>
      </c>
      <c r="K378" s="31">
        <f>AVERAGEIFS(All_India_Index_Upto_April23__134[[#All],[Food buckts avg2]],All_India_Index_Upto_April23__134[[#All],[Year]],$G378,All_India_Index_Upto_April23__134[[#All],[Month]],$H378,All_India_Index_Upto_April23__134[[#All],[Sector]],K$371)</f>
        <v>175.625</v>
      </c>
      <c r="L378" s="18">
        <f t="shared" si="1"/>
        <v>-0.51923530800093876</v>
      </c>
      <c r="N378" s="42" t="s">
        <v>9</v>
      </c>
      <c r="O378" s="15" cm="1">
        <f t="array" ref="O378">AVERAGEIFS(vegetables,months,"june",year,"2022",sector,"Rural+Urban")</f>
        <v>182.3</v>
      </c>
      <c r="P378" s="15" cm="1">
        <f t="array" ref="P378">AVERAGEIFS(vegetables,months,"May",year,"2023",sector,"Rural+Urban")</f>
        <v>161</v>
      </c>
      <c r="Q378" s="18">
        <f t="shared" si="0"/>
        <v>-0.11684037301151953</v>
      </c>
      <c r="S378" s="40"/>
      <c r="V378" s="45"/>
    </row>
    <row r="379" spans="1:22" x14ac:dyDescent="0.25">
      <c r="A379" s="12" t="s">
        <v>10</v>
      </c>
      <c r="B379" s="15">
        <v>174.9</v>
      </c>
      <c r="C379" s="15">
        <v>176.9</v>
      </c>
      <c r="D379" s="15">
        <v>175.6</v>
      </c>
      <c r="E379" s="15" t="s">
        <v>168</v>
      </c>
      <c r="G379" s="15">
        <v>2023</v>
      </c>
      <c r="H379" s="30" t="s">
        <v>31</v>
      </c>
      <c r="I379" s="31">
        <f>AVERAGEIFS(All_India_Index_Upto_April23__134[[#All],[Food buckts avg2]],All_India_Index_Upto_April23__134[[#All],[Year]],$G379,All_India_Index_Upto_April23__134[[#All],[Month]],$H379,All_India_Index_Upto_April23__134[[#All],[Sector]],I$371)</f>
        <v>175.68333333333337</v>
      </c>
      <c r="J379" s="31">
        <f>AVERAGEIFS(All_India_Index_Upto_April23__134[[#All],[Food buckts avg2]],All_India_Index_Upto_April23__134[[#All],[Year]],$G379,All_India_Index_Upto_April23__134[[#All],[Month]],$H379,All_India_Index_Upto_April23__134[[#All],[Sector]],J$371)</f>
        <v>177.55833333333337</v>
      </c>
      <c r="K379" s="31">
        <f>AVERAGEIFS(All_India_Index_Upto_April23__134[[#All],[Food buckts avg2]],All_India_Index_Upto_April23__134[[#All],[Year]],$G379,All_India_Index_Upto_April23__134[[#All],[Month]],$H379,All_India_Index_Upto_April23__134[[#All],[Sector]],K$371)</f>
        <v>176.33333333333334</v>
      </c>
      <c r="L379" s="18">
        <f t="shared" si="1"/>
        <v>0.40332147093713466</v>
      </c>
      <c r="N379" s="42" t="s">
        <v>10</v>
      </c>
      <c r="O379" s="15" cm="1">
        <f t="array" ref="O379">AVERAGEIFS(Pulses_prod,months,"june",year,"2022",sector,"Rural+Urban")</f>
        <v>164.3</v>
      </c>
      <c r="P379" s="15" cm="1">
        <f t="array" ref="P379">AVERAGEIFS(Pulses_prod,months,"may",year,"2023",sector,"Rural+Urban")</f>
        <v>175.6</v>
      </c>
      <c r="Q379" s="18">
        <f t="shared" si="0"/>
        <v>6.8776628119293873E-2</v>
      </c>
      <c r="S379" s="40"/>
      <c r="V379" s="45"/>
    </row>
    <row r="380" spans="1:22" x14ac:dyDescent="0.25">
      <c r="A380" s="12" t="s">
        <v>11</v>
      </c>
      <c r="B380" s="15">
        <v>121.9</v>
      </c>
      <c r="C380" s="15">
        <v>124.2</v>
      </c>
      <c r="D380" s="15">
        <v>122.7</v>
      </c>
      <c r="E380" s="15" t="s">
        <v>168</v>
      </c>
      <c r="G380" s="36">
        <v>2023</v>
      </c>
      <c r="H380" s="37" t="s">
        <v>36</v>
      </c>
      <c r="I380" s="38">
        <f>AVERAGEIFS(All_India_Index_Upto_April23__134[[#All],[Food buckts avg2]],All_India_Index_Upto_April23__134[[#All],[Year]],$G380,All_India_Index_Upto_April23__134[[#All],[Month]],$H380,All_India_Index_Upto_April23__134[[#All],[Sector]],I$371)</f>
        <v>174.24166666666665</v>
      </c>
      <c r="J380" s="38">
        <f>AVERAGEIFS(All_India_Index_Upto_April23__134[[#All],[Food buckts avg2]],All_India_Index_Upto_April23__134[[#All],[Year]],$G380,All_India_Index_Upto_April23__134[[#All],[Month]],$H380,All_India_Index_Upto_April23__134[[#All],[Sector]],J$371)</f>
        <v>176.875</v>
      </c>
      <c r="K380" s="38">
        <f>AVERAGEIFS(All_India_Index_Upto_April23__134[[#All],[Food buckts avg2]],All_India_Index_Upto_April23__134[[#All],[Year]],$G380,All_India_Index_Upto_April23__134[[#All],[Month]],$H380,All_India_Index_Upto_April23__134[[#All],[Sector]],K$371)</f>
        <v>175.17499999999998</v>
      </c>
      <c r="L380" s="39">
        <f t="shared" si="1"/>
        <v>-0.65689981096409811</v>
      </c>
      <c r="N380" s="42" t="s">
        <v>11</v>
      </c>
      <c r="O380" s="15" cm="1">
        <f t="array" ref="O380">AVERAGEIFS(sugar_confections,months,"june",year,"2022",sector,"Rural+Urban")</f>
        <v>119.9</v>
      </c>
      <c r="P380" s="15" cm="1">
        <f t="array" ref="P380">AVERAGEIFS(sugar_confections,months,"may",year,"2023",sector,"Rural+Urban")</f>
        <v>122.7</v>
      </c>
      <c r="Q380" s="18">
        <f t="shared" si="0"/>
        <v>2.3352793994995805E-2</v>
      </c>
      <c r="S380" s="40"/>
      <c r="V380" s="45"/>
    </row>
    <row r="381" spans="1:22" x14ac:dyDescent="0.25">
      <c r="A381" s="12" t="s">
        <v>12</v>
      </c>
      <c r="B381" s="15">
        <v>221</v>
      </c>
      <c r="C381" s="15">
        <v>211.9</v>
      </c>
      <c r="D381" s="15">
        <v>218</v>
      </c>
      <c r="E381" s="15" t="s">
        <v>168</v>
      </c>
      <c r="G381" s="15">
        <v>2023</v>
      </c>
      <c r="H381" s="30" t="s">
        <v>38</v>
      </c>
      <c r="I381" s="31">
        <f>AVERAGEIFS(All_India_Index_Upto_April23__134[[#All],[Food buckts avg2]],All_India_Index_Upto_April23__134[[#All],[Year]],$G381,All_India_Index_Upto_April23__134[[#All],[Month]],$H381,All_India_Index_Upto_April23__134[[#All],[Sector]],I$371)</f>
        <v>174.25</v>
      </c>
      <c r="J381" s="31">
        <f>AVERAGEIFS(All_India_Index_Upto_April23__134[[#All],[Food buckts avg2]],All_India_Index_Upto_April23__134[[#All],[Year]],$G381,All_India_Index_Upto_April23__134[[#All],[Month]],$H381,All_India_Index_Upto_April23__134[[#All],[Sector]],J$371)</f>
        <v>176.88333333333333</v>
      </c>
      <c r="K381" s="31">
        <f>AVERAGEIFS(All_India_Index_Upto_April23__134[[#All],[Food buckts avg2]],All_India_Index_Upto_April23__134[[#All],[Year]],$G381,All_India_Index_Upto_April23__134[[#All],[Month]],$H381,All_India_Index_Upto_April23__134[[#All],[Sector]],K$371)</f>
        <v>175.18333333333331</v>
      </c>
      <c r="L381" s="18">
        <f t="shared" si="1"/>
        <v>4.7571476142861452E-3</v>
      </c>
      <c r="N381" s="42" t="s">
        <v>12</v>
      </c>
      <c r="O381" s="15" cm="1">
        <f t="array" ref="O381">AVERAGEIFS(spices,months,"june",year,"2022",sector,"Rural+Urban")</f>
        <v>187.1</v>
      </c>
      <c r="P381" s="15" cm="1">
        <f t="array" ref="P381">AVERAGEIFS(spices,months,"May",year,"2023",sector,"Rural+Urban")</f>
        <v>218</v>
      </c>
      <c r="Q381" s="18">
        <f t="shared" si="0"/>
        <v>0.16515232495991453</v>
      </c>
      <c r="S381" s="40"/>
      <c r="V381" s="45"/>
    </row>
    <row r="382" spans="1:22" x14ac:dyDescent="0.25">
      <c r="A382" s="12" t="s">
        <v>13</v>
      </c>
      <c r="B382" s="15">
        <v>178.7</v>
      </c>
      <c r="C382" s="15">
        <v>165.9</v>
      </c>
      <c r="D382" s="15">
        <v>173.4</v>
      </c>
      <c r="E382" s="15" t="s">
        <v>168</v>
      </c>
      <c r="G382" s="15">
        <v>2023</v>
      </c>
      <c r="H382" s="30" t="s">
        <v>39</v>
      </c>
      <c r="I382" s="31">
        <f>AVERAGEIFS(All_India_Index_Upto_April23__134[[#All],[Food buckts avg2]],All_India_Index_Upto_April23__134[[#All],[Year]],$G382,All_India_Index_Upto_April23__134[[#All],[Month]],$H382,All_India_Index_Upto_April23__134[[#All],[Sector]],I$371)</f>
        <v>174.89166666666665</v>
      </c>
      <c r="J382" s="31">
        <f>AVERAGEIFS(All_India_Index_Upto_April23__134[[#All],[Food buckts avg2]],All_India_Index_Upto_April23__134[[#All],[Year]],$G382,All_India_Index_Upto_April23__134[[#All],[Month]],$H382,All_India_Index_Upto_April23__134[[#All],[Sector]],J$371)</f>
        <v>177.9666666666667</v>
      </c>
      <c r="K382" s="31">
        <f>AVERAGEIFS(All_India_Index_Upto_April23__134[[#All],[Food buckts avg2]],All_India_Index_Upto_April23__134[[#All],[Year]],$G382,All_India_Index_Upto_April23__134[[#All],[Month]],$H382,All_India_Index_Upto_April23__134[[#All],[Sector]],K$371)</f>
        <v>175.97500000000002</v>
      </c>
      <c r="L382" s="18">
        <f t="shared" si="1"/>
        <v>0.4519075254495562</v>
      </c>
      <c r="N382" s="42" t="s">
        <v>13</v>
      </c>
      <c r="O382" s="15" cm="1">
        <f t="array" ref="O382">AVERAGEIFS(non_alcoholic,months,"june",year,"2022",sector,"Rural+Urban")</f>
        <v>167.9</v>
      </c>
      <c r="P382" s="15" cm="1">
        <f t="array" ref="P382">AVERAGEIFS(non_alcoholic,months,"May",year,"2023",sector,"Rural+Urban")</f>
        <v>173.4</v>
      </c>
      <c r="Q382" s="18">
        <f t="shared" si="0"/>
        <v>3.2757593805836809E-2</v>
      </c>
      <c r="S382" s="40"/>
      <c r="V382" s="45"/>
    </row>
    <row r="383" spans="1:22" x14ac:dyDescent="0.25">
      <c r="A383" s="12" t="s">
        <v>14</v>
      </c>
      <c r="B383" s="15">
        <v>191.1</v>
      </c>
      <c r="C383" s="15">
        <v>197.7</v>
      </c>
      <c r="D383" s="15">
        <v>194.2</v>
      </c>
      <c r="E383" s="15" t="s">
        <v>168</v>
      </c>
      <c r="G383" s="32">
        <v>2023</v>
      </c>
      <c r="H383" s="33" t="s">
        <v>41</v>
      </c>
      <c r="I383" s="34">
        <f>AVERAGEIFS(All_India_Index_Upto_April23__134[[#All],[Food buckts avg2]],All_India_Index_Upto_April23__134[[#All],[Year]],$G383,All_India_Index_Upto_April23__134[[#All],[Month]],$H383,All_India_Index_Upto_April23__134[[#All],[Sector]],I$371)</f>
        <v>176.15833333333339</v>
      </c>
      <c r="J383" s="34">
        <f>AVERAGEIFS(All_India_Index_Upto_April23__134[[#All],[Food buckts avg2]],All_India_Index_Upto_April23__134[[#All],[Year]],$G383,All_India_Index_Upto_April23__134[[#All],[Month]],$H383,All_India_Index_Upto_April23__134[[#All],[Sector]],J$371)</f>
        <v>179.33333333333334</v>
      </c>
      <c r="K383" s="34">
        <f>AVERAGEIFS(All_India_Index_Upto_April23__134[[#All],[Food buckts avg2]],All_India_Index_Upto_April23__134[[#All],[Year]],$G383,All_India_Index_Upto_April23__134[[#All],[Month]],$H383,All_India_Index_Upto_April23__134[[#All],[Sector]],K$371)</f>
        <v>177.31666666666669</v>
      </c>
      <c r="L383" s="35">
        <f>(K383-K382)/K382*100</f>
        <v>0.76241890420040825</v>
      </c>
      <c r="N383" s="42" t="s">
        <v>14</v>
      </c>
      <c r="O383" s="15" cm="1">
        <f t="array" ref="O383">AVERAGEIFS(pre_meal,months,"june",year,"2022",sector,"Rural+Urban")</f>
        <v>183.9</v>
      </c>
      <c r="P383" s="15" cm="1">
        <f t="array" ref="P383">AVERAGEIFS(pre_meal,months,"May",year,"2023",sector,"Rural+Urban")</f>
        <v>194.2</v>
      </c>
      <c r="Q383" s="18">
        <f t="shared" si="0"/>
        <v>5.6008700380641561E-2</v>
      </c>
      <c r="S383" s="40"/>
      <c r="V383" s="45"/>
    </row>
    <row r="384" spans="1:22" x14ac:dyDescent="0.25">
      <c r="A384" s="12" t="s">
        <v>15</v>
      </c>
      <c r="B384" s="15">
        <v>176.8</v>
      </c>
      <c r="C384" s="15">
        <v>183.1</v>
      </c>
      <c r="D384" s="15">
        <v>179.1</v>
      </c>
      <c r="E384" s="15" t="s">
        <v>168</v>
      </c>
      <c r="N384" s="40"/>
      <c r="P384" s="11"/>
    </row>
    <row r="385" spans="16:16" x14ac:dyDescent="0.25">
      <c r="P385" s="11"/>
    </row>
    <row r="386" spans="16:16" x14ac:dyDescent="0.25">
      <c r="P386" s="11"/>
    </row>
    <row r="387" spans="16:16" x14ac:dyDescent="0.25">
      <c r="P387" s="11"/>
    </row>
    <row r="388" spans="16:16" x14ac:dyDescent="0.25">
      <c r="P388" s="11"/>
    </row>
    <row r="389" spans="16:16" x14ac:dyDescent="0.25">
      <c r="P389" s="11"/>
    </row>
    <row r="390" spans="16:16" x14ac:dyDescent="0.25">
      <c r="P390" s="11"/>
    </row>
    <row r="391" spans="16:16" x14ac:dyDescent="0.25">
      <c r="P391" s="11"/>
    </row>
    <row r="392" spans="16:16" x14ac:dyDescent="0.25">
      <c r="P392" s="11"/>
    </row>
    <row r="393" spans="16:16" x14ac:dyDescent="0.25">
      <c r="P393" s="11"/>
    </row>
    <row r="394" spans="16:16" x14ac:dyDescent="0.25">
      <c r="P394" s="11"/>
    </row>
    <row r="395" spans="16:16" x14ac:dyDescent="0.25">
      <c r="P395" s="11"/>
    </row>
    <row r="396" spans="16:16" x14ac:dyDescent="0.25">
      <c r="P396" s="11"/>
    </row>
    <row r="397" spans="16:16" x14ac:dyDescent="0.25">
      <c r="P397" s="11"/>
    </row>
    <row r="398" spans="16:16" x14ac:dyDescent="0.25">
      <c r="P398" s="11"/>
    </row>
    <row r="399" spans="16:16" x14ac:dyDescent="0.25">
      <c r="P399" s="11"/>
    </row>
    <row r="400" spans="16:16" x14ac:dyDescent="0.25">
      <c r="P400" s="11"/>
    </row>
    <row r="401" spans="16:16" x14ac:dyDescent="0.25">
      <c r="P401" s="11"/>
    </row>
    <row r="402" spans="16:16" x14ac:dyDescent="0.25">
      <c r="P402" s="11"/>
    </row>
    <row r="403" spans="16:16" x14ac:dyDescent="0.25">
      <c r="P403" s="11"/>
    </row>
    <row r="404" spans="16:16" x14ac:dyDescent="0.25">
      <c r="P404" s="11"/>
    </row>
    <row r="405" spans="16:16" x14ac:dyDescent="0.25">
      <c r="P405" s="11"/>
    </row>
    <row r="406" spans="16:16" x14ac:dyDescent="0.25">
      <c r="P406" s="11"/>
    </row>
    <row r="407" spans="16:16" x14ac:dyDescent="0.25">
      <c r="P407" s="11"/>
    </row>
    <row r="408" spans="16:16" x14ac:dyDescent="0.25">
      <c r="P408" s="11"/>
    </row>
    <row r="409" spans="16:16" x14ac:dyDescent="0.25">
      <c r="P409" s="11"/>
    </row>
    <row r="410" spans="16:16" x14ac:dyDescent="0.25">
      <c r="P410" s="11"/>
    </row>
    <row r="411" spans="16:16" x14ac:dyDescent="0.25">
      <c r="P411" s="11"/>
    </row>
    <row r="412" spans="16:16" x14ac:dyDescent="0.25">
      <c r="P412" s="11"/>
    </row>
    <row r="413" spans="16:16" x14ac:dyDescent="0.25">
      <c r="P413" s="11"/>
    </row>
    <row r="414" spans="16:16" x14ac:dyDescent="0.25">
      <c r="P414" s="11"/>
    </row>
  </sheetData>
  <mergeCells count="1">
    <mergeCell ref="G370:L370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DB23-1248-469A-921F-09343B6070CF}">
  <dimension ref="C8:Q36"/>
  <sheetViews>
    <sheetView topLeftCell="G21" zoomScale="115" zoomScaleNormal="115" workbookViewId="0">
      <selection activeCell="J22" sqref="J22"/>
    </sheetView>
  </sheetViews>
  <sheetFormatPr defaultRowHeight="15" x14ac:dyDescent="0.25"/>
  <cols>
    <col min="4" max="4" width="12" customWidth="1"/>
    <col min="5" max="5" width="18.85546875" bestFit="1" customWidth="1"/>
    <col min="6" max="6" width="12.85546875" bestFit="1" customWidth="1"/>
    <col min="7" max="7" width="28.42578125" bestFit="1" customWidth="1"/>
    <col min="8" max="8" width="10.42578125" customWidth="1"/>
    <col min="9" max="9" width="28.42578125" bestFit="1" customWidth="1"/>
    <col min="10" max="10" width="9.7109375" customWidth="1"/>
    <col min="11" max="11" width="7.85546875" customWidth="1"/>
    <col min="12" max="12" width="12.7109375" bestFit="1" customWidth="1"/>
    <col min="13" max="13" width="19.140625" bestFit="1" customWidth="1"/>
    <col min="14" max="14" width="13.140625" bestFit="1" customWidth="1"/>
    <col min="15" max="15" width="29" bestFit="1" customWidth="1"/>
    <col min="16" max="16" width="10.5703125" customWidth="1"/>
    <col min="17" max="17" width="28.28515625" bestFit="1" customWidth="1"/>
  </cols>
  <sheetData>
    <row r="8" spans="3:9" x14ac:dyDescent="0.25">
      <c r="C8" s="46" t="s">
        <v>1</v>
      </c>
      <c r="D8" s="47" t="s">
        <v>179</v>
      </c>
      <c r="E8" s="46" t="s">
        <v>15</v>
      </c>
      <c r="F8" s="46" t="s">
        <v>21</v>
      </c>
      <c r="G8" s="46" t="s">
        <v>22</v>
      </c>
      <c r="H8" s="46" t="s">
        <v>23</v>
      </c>
      <c r="I8" s="46" t="s">
        <v>24</v>
      </c>
    </row>
    <row r="9" spans="3:9" x14ac:dyDescent="0.25">
      <c r="C9" s="15">
        <v>2019</v>
      </c>
      <c r="D9" s="15" t="s">
        <v>184</v>
      </c>
      <c r="E9" s="15" cm="1">
        <f t="array" ref="E9">AVERAGEIFS(Food_beverages,year,$C9,months,$D9,sector,"rural+urban")</f>
        <v>137.5</v>
      </c>
      <c r="F9" s="15" cm="1">
        <f t="array" ref="F9">AVERAGEIFS(Fuel_lights,year,$C9,months,$D9,sector,"rural+urban")</f>
        <v>138.4</v>
      </c>
      <c r="G9" s="15" cm="1">
        <f t="array" ref="G9">AVERAGEIFS(house_goods_servies,year,$C9,months,$D9,sector,"rural+urban")</f>
        <v>143.69999999999999</v>
      </c>
      <c r="H9" s="15" cm="1">
        <f t="array" ref="H9">AVERAGEIFS(health,year,$C9,months,$D9,sector,"rural+urban")</f>
        <v>145.6</v>
      </c>
      <c r="I9" s="15" cm="1">
        <f t="array" ref="I9">AVERAGEIFS(trans_comu,year,$C9,months,$D9,sector,"rural+urban")</f>
        <v>123.9</v>
      </c>
    </row>
    <row r="10" spans="3:9" x14ac:dyDescent="0.25">
      <c r="C10" s="15">
        <v>2019</v>
      </c>
      <c r="D10" s="15" t="s">
        <v>185</v>
      </c>
      <c r="E10" s="15" cm="1">
        <f t="array" ref="E10">AVERAGEIFS(Food_beverages,year,$C10,months,$D10,sector,"rural+urban")</f>
        <v>138.1</v>
      </c>
      <c r="F10" s="15" cm="1">
        <f t="array" ref="F10">AVERAGEIFS(Fuel_lights,year,$C10,months,$D10,sector,"rural+urban")</f>
        <v>139.69999999999999</v>
      </c>
      <c r="G10" s="15" cm="1">
        <f t="array" ref="G10">AVERAGEIFS(house_goods_servies,year,$C10,months,$D10,sector,"rural+urban")</f>
        <v>143.80000000000001</v>
      </c>
      <c r="H10" s="15" cm="1">
        <f t="array" ref="H10">AVERAGEIFS(health,year,$C10,months,$D10,sector,"rural+urban")</f>
        <v>146.19999999999999</v>
      </c>
      <c r="I10" s="15" cm="1">
        <f t="array" ref="I10">AVERAGEIFS(trans_comu,year,$C10,months,$D10,sector,"rural+urban")</f>
        <v>124.6</v>
      </c>
    </row>
    <row r="11" spans="3:9" x14ac:dyDescent="0.25">
      <c r="C11" s="15">
        <v>2019</v>
      </c>
      <c r="D11" s="15" t="s">
        <v>187</v>
      </c>
      <c r="E11" s="15" cm="1">
        <f t="array" ref="E11">AVERAGEIFS(Food_beverages,year,$C11,months,$D11,sector,"rural+urban")</f>
        <v>140.9</v>
      </c>
      <c r="F11" s="15" cm="1">
        <f t="array" ref="F11">AVERAGEIFS(Fuel_lights,year,$C11,months,$D11,sector,"rural+urban")</f>
        <v>140.30000000000001</v>
      </c>
      <c r="G11" s="15" cm="1">
        <f t="array" ref="G11">AVERAGEIFS(house_goods_servies,year,$C11,months,$D11,sector,"rural+urban")</f>
        <v>143.69999999999999</v>
      </c>
      <c r="H11" s="15" cm="1">
        <f t="array" ref="H11">AVERAGEIFS(health,year,$C11,months,$D11,sector,"rural+urban")</f>
        <v>146.9</v>
      </c>
      <c r="I11" s="15" cm="1">
        <f t="array" ref="I11">AVERAGEIFS(trans_comu,year,$C11,months,$D11,sector,"rural+urban")</f>
        <v>124.9</v>
      </c>
    </row>
    <row r="12" spans="3:9" x14ac:dyDescent="0.25">
      <c r="C12" s="15">
        <v>2019</v>
      </c>
      <c r="D12" s="15" t="s">
        <v>188</v>
      </c>
      <c r="E12" s="15" cm="1">
        <f t="array" ref="E12">AVERAGEIFS(Food_beverages,year,$C12,months,$D12,sector,"rural+urban")</f>
        <v>142.69999999999999</v>
      </c>
      <c r="F12" s="15" cm="1">
        <f t="array" ref="F12">AVERAGEIFS(Fuel_lights,year,$C12,months,$D12,sector,"rural+urban")</f>
        <v>141.19999999999999</v>
      </c>
      <c r="G12" s="15" cm="1">
        <f t="array" ref="G12">AVERAGEIFS(house_goods_servies,year,$C12,months,$D12,sector,"rural+urban")</f>
        <v>143.80000000000001</v>
      </c>
      <c r="H12" s="15" cm="1">
        <f t="array" ref="H12">AVERAGEIFS(health,year,$C12,months,$D12,sector,"rural+urban")</f>
        <v>147.4</v>
      </c>
      <c r="I12" s="15" cm="1">
        <f t="array" ref="I12">AVERAGEIFS(trans_comu,year,$C12,months,$D12,sector,"rural+urban")</f>
        <v>124.6</v>
      </c>
    </row>
    <row r="13" spans="3:9" x14ac:dyDescent="0.25">
      <c r="C13" s="15">
        <v>2019</v>
      </c>
      <c r="D13" s="15" t="s">
        <v>189</v>
      </c>
      <c r="E13" s="15" cm="1">
        <f t="array" ref="E13">AVERAGEIFS(Food_beverages,year,$C13,months,$D13,sector,"rural+urban")</f>
        <v>144.69999999999999</v>
      </c>
      <c r="F13" s="15" cm="1">
        <f t="array" ref="F13">AVERAGEIFS(Fuel_lights,year,$C13,months,$D13,sector,"rural+urban")</f>
        <v>139.30000000000001</v>
      </c>
      <c r="G13" s="15" cm="1">
        <f t="array" ref="G13">AVERAGEIFS(house_goods_servies,year,$C13,months,$D13,sector,"rural+urban")</f>
        <v>144.19999999999999</v>
      </c>
      <c r="H13" s="15" cm="1">
        <f t="array" ref="H13">AVERAGEIFS(health,year,$C13,months,$D13,sector,"rural+urban")</f>
        <v>147.9</v>
      </c>
      <c r="I13" s="15" cm="1">
        <f t="array" ref="I13">AVERAGEIFS(trans_comu,year,$C13,months,$D13,sector,"rural+urban")</f>
        <v>125.6</v>
      </c>
    </row>
    <row r="14" spans="3:9" x14ac:dyDescent="0.25">
      <c r="C14" s="15">
        <v>2019</v>
      </c>
      <c r="D14" s="15" t="s">
        <v>190</v>
      </c>
      <c r="E14" s="15" cm="1">
        <f t="array" ref="E14">AVERAGEIFS(Food_beverages,year,$C14,months,$D14,sector,"rural+urban")</f>
        <v>145.9</v>
      </c>
      <c r="F14" s="15" cm="1">
        <f t="array" ref="F14">AVERAGEIFS(Fuel_lights,year,$C14,months,$D14,sector,"rural+urban")</f>
        <v>138.5</v>
      </c>
      <c r="G14" s="15" cm="1">
        <f t="array" ref="G14">AVERAGEIFS(house_goods_servies,year,$C14,months,$D14,sector,"rural+urban")</f>
        <v>144.5</v>
      </c>
      <c r="H14" s="15" cm="1">
        <f t="array" ref="H14">AVERAGEIFS(health,year,$C14,months,$D14,sector,"rural+urban")</f>
        <v>148.5</v>
      </c>
      <c r="I14" s="15" cm="1">
        <f t="array" ref="I14">AVERAGEIFS(trans_comu,year,$C14,months,$D14,sector,"rural+urban")</f>
        <v>125.8</v>
      </c>
    </row>
    <row r="15" spans="3:9" x14ac:dyDescent="0.25">
      <c r="C15" s="15">
        <v>2019</v>
      </c>
      <c r="D15" s="15" t="s">
        <v>191</v>
      </c>
      <c r="E15" s="15" cm="1">
        <f t="array" ref="E15">AVERAGEIFS(Food_beverages,year,$C15,months,$D15,sector,"rural+urban")</f>
        <v>147</v>
      </c>
      <c r="F15" s="15" cm="1">
        <f t="array" ref="F15">AVERAGEIFS(Fuel_lights,year,$C15,months,$D15,sector,"rural+urban")</f>
        <v>139.19999999999999</v>
      </c>
      <c r="G15" s="15" cm="1">
        <f t="array" ref="G15">AVERAGEIFS(house_goods_servies,year,$C15,months,$D15,sector,"rural+urban")</f>
        <v>144.6</v>
      </c>
      <c r="H15" s="15" cm="1">
        <f t="array" ref="H15">AVERAGEIFS(health,year,$C15,months,$D15,sector,"rural+urban")</f>
        <v>149</v>
      </c>
      <c r="I15" s="15" cm="1">
        <f t="array" ref="I15">AVERAGEIFS(trans_comu,year,$C15,months,$D15,sector,"rural+urban")</f>
        <v>126.1</v>
      </c>
    </row>
    <row r="16" spans="3:9" x14ac:dyDescent="0.25">
      <c r="C16" s="15">
        <v>2019</v>
      </c>
      <c r="D16" s="15" t="s">
        <v>192</v>
      </c>
      <c r="E16" s="15" cm="1">
        <f t="array" ref="E16">AVERAGEIFS(Food_beverages,year,$C16,months,$D16,sector,"rural+urban")</f>
        <v>149.6</v>
      </c>
      <c r="F16" s="15" cm="1">
        <f t="array" ref="F16">AVERAGEIFS(Fuel_lights,year,$C16,months,$D16,sector,"rural+urban")</f>
        <v>140.6</v>
      </c>
      <c r="G16" s="15" cm="1">
        <f t="array" ref="G16">AVERAGEIFS(house_goods_servies,year,$C16,months,$D16,sector,"rural+urban")</f>
        <v>145</v>
      </c>
      <c r="H16" s="15" cm="1">
        <f t="array" ref="H16">AVERAGEIFS(health,year,$C16,months,$D16,sector,"rural+urban")</f>
        <v>149.4</v>
      </c>
      <c r="I16" s="15" cm="1">
        <f t="array" ref="I16">AVERAGEIFS(trans_comu,year,$C16,months,$D16,sector,"rural+urban")</f>
        <v>126.3</v>
      </c>
    </row>
    <row r="17" spans="3:17" x14ac:dyDescent="0.25">
      <c r="C17" s="15">
        <v>2019</v>
      </c>
      <c r="D17" s="15" t="s">
        <v>193</v>
      </c>
      <c r="E17" s="15" cm="1">
        <f t="array" ref="E17">AVERAGEIFS(Food_beverages,year,$C17,months,$D17,sector,"rural+urban")</f>
        <v>151.9</v>
      </c>
      <c r="F17" s="15" cm="1">
        <f t="array" ref="F17">AVERAGEIFS(Fuel_lights,year,$C17,months,$D17,sector,"rural+urban")</f>
        <v>142.30000000000001</v>
      </c>
      <c r="G17" s="15" cm="1">
        <f t="array" ref="G17">AVERAGEIFS(house_goods_servies,year,$C17,months,$D17,sector,"rural+urban")</f>
        <v>145.30000000000001</v>
      </c>
      <c r="H17" s="15" cm="1">
        <f t="array" ref="H17">AVERAGEIFS(health,year,$C17,months,$D17,sector,"rural+urban")</f>
        <v>149.9</v>
      </c>
      <c r="I17" s="15" cm="1">
        <f t="array" ref="I17">AVERAGEIFS(trans_comu,year,$C17,months,$D17,sector,"rural+urban")</f>
        <v>126.6</v>
      </c>
    </row>
    <row r="18" spans="3:17" x14ac:dyDescent="0.25">
      <c r="C18" s="15">
        <v>2019</v>
      </c>
      <c r="D18" s="15" t="s">
        <v>194</v>
      </c>
      <c r="E18" s="15" cm="1">
        <f t="array" ref="E18">AVERAGEIFS(Food_beverages,year,$C18,months,$D18,sector,"rural+urban")</f>
        <v>155</v>
      </c>
      <c r="F18" s="15" cm="1">
        <f t="array" ref="F18">AVERAGEIFS(Fuel_lights,year,$C18,months,$D18,sector,"rural+urban")</f>
        <v>143.69999999999999</v>
      </c>
      <c r="G18" s="15" cm="1">
        <f t="array" ref="G18">AVERAGEIFS(house_goods_servies,year,$C18,months,$D18,sector,"rural+urban")</f>
        <v>145.80000000000001</v>
      </c>
      <c r="H18" s="15" cm="1">
        <f t="array" ref="H18">AVERAGEIFS(health,year,$C18,months,$D18,sector,"rural+urban")</f>
        <v>150.4</v>
      </c>
      <c r="I18" s="15" cm="1">
        <f t="array" ref="I18">AVERAGEIFS(trans_comu,year,$C18,months,$D18,sector,"rural+urban")</f>
        <v>129.80000000000001</v>
      </c>
      <c r="K18" s="48"/>
      <c r="L18" s="43"/>
      <c r="M18" s="46" t="s">
        <v>15</v>
      </c>
      <c r="N18" s="46" t="s">
        <v>21</v>
      </c>
      <c r="O18" s="46" t="s">
        <v>22</v>
      </c>
      <c r="P18" s="46" t="s">
        <v>23</v>
      </c>
      <c r="Q18" s="46" t="s">
        <v>24</v>
      </c>
    </row>
    <row r="19" spans="3:17" x14ac:dyDescent="0.25">
      <c r="C19" s="15">
        <v>2020</v>
      </c>
      <c r="D19" s="15" t="s">
        <v>183</v>
      </c>
      <c r="E19" s="15" cm="1">
        <f t="array" ref="E19">AVERAGEIFS(Food_beverages,year,$C19,months,$D19,sector,"rural+urban")</f>
        <v>153.5</v>
      </c>
      <c r="F19" s="15" cm="1">
        <f t="array" ref="F19">AVERAGEIFS(Fuel_lights,year,$C19,months,$D19,sector,"rural+urban")</f>
        <v>144.6</v>
      </c>
      <c r="G19" s="15" cm="1">
        <f t="array" ref="G19">AVERAGEIFS(house_goods_servies,year,$C19,months,$D19,sector,"rural+urban")</f>
        <v>146.19999999999999</v>
      </c>
      <c r="H19" s="15" cm="1">
        <f t="array" ref="H19">AVERAGEIFS(health,year,$C19,months,$D19,sector,"rural+urban")</f>
        <v>151.19999999999999</v>
      </c>
      <c r="I19" s="15" cm="1">
        <f t="array" ref="I19">AVERAGEIFS(trans_comu,year,$C19,months,$D19,sector,"rural+urban")</f>
        <v>130.9</v>
      </c>
      <c r="L19" s="17" t="s">
        <v>195</v>
      </c>
      <c r="M19" s="18">
        <f>(E20-E9)/E9</f>
        <v>9.4545454545454544E-2</v>
      </c>
      <c r="N19" s="18">
        <f t="shared" ref="N19:P19" si="0">(F20-F9)/F9</f>
        <v>6.3583815028901605E-2</v>
      </c>
      <c r="O19" s="18">
        <f t="shared" si="0"/>
        <v>1.8789144050104505E-2</v>
      </c>
      <c r="P19" s="18">
        <f t="shared" si="0"/>
        <v>4.1895604395604358E-2</v>
      </c>
      <c r="Q19" s="18">
        <f t="shared" ref="Q19" si="1">(I20-I9)/I9</f>
        <v>5.1654560129136447E-2</v>
      </c>
    </row>
    <row r="20" spans="3:17" x14ac:dyDescent="0.25">
      <c r="C20" s="15">
        <v>2020</v>
      </c>
      <c r="D20" s="15" t="s">
        <v>184</v>
      </c>
      <c r="E20" s="15" cm="1">
        <f t="array" ref="E20">AVERAGEIFS(Food_beverages,year,$C20,months,$D20,sector,"rural+urban")</f>
        <v>150.5</v>
      </c>
      <c r="F20" s="15" cm="1">
        <f t="array" ref="F20">AVERAGEIFS(Fuel_lights,year,$C20,months,$D20,sector,"rural+urban")</f>
        <v>147.19999999999999</v>
      </c>
      <c r="G20" s="15" cm="1">
        <f t="array" ref="G20">AVERAGEIFS(house_goods_servies,year,$C20,months,$D20,sector,"rural+urban")</f>
        <v>146.4</v>
      </c>
      <c r="H20" s="15" cm="1">
        <f t="array" ref="H20">AVERAGEIFS(health,year,$C20,months,$D20,sector,"rural+urban")</f>
        <v>151.69999999999999</v>
      </c>
      <c r="I20" s="15" cm="1">
        <f t="array" ref="I20">AVERAGEIFS(trans_comu,year,$C20,months,$D20,sector,"rural+urban")</f>
        <v>130.30000000000001</v>
      </c>
      <c r="L20" s="17" t="s">
        <v>196</v>
      </c>
      <c r="M20" s="18">
        <f>(E36-E25)/E25</f>
        <v>4.3506493506493431E-2</v>
      </c>
      <c r="N20" s="18">
        <f t="shared" ref="N20:Q20" si="2">(F36-F25)/F25</f>
        <v>0.12332628611698379</v>
      </c>
      <c r="O20" s="18">
        <f t="shared" si="2"/>
        <v>5.6693989071038134E-2</v>
      </c>
      <c r="P20" s="18">
        <f t="shared" si="2"/>
        <v>7.383419689119175E-2</v>
      </c>
      <c r="Q20" s="18">
        <f t="shared" si="2"/>
        <v>0.10296296296296301</v>
      </c>
    </row>
    <row r="21" spans="3:17" x14ac:dyDescent="0.25">
      <c r="D21" s="11"/>
    </row>
    <row r="22" spans="3:17" x14ac:dyDescent="0.25">
      <c r="C22" s="32">
        <v>2020</v>
      </c>
      <c r="D22" s="32" t="s">
        <v>38</v>
      </c>
      <c r="E22" s="32" cm="1">
        <f t="array" ref="E22">AVERAGEIFS(Food_beverages,year,$C22,months,$D22,sector,"rural+urban")</f>
        <v>148.9</v>
      </c>
      <c r="F22" s="32" cm="1">
        <f t="array" ref="F22">AVERAGEIFS(Fuel_lights,year,$C22,months,$D22,sector,"rural+urban")</f>
        <v>148.9</v>
      </c>
      <c r="G22" s="32" cm="1">
        <f t="array" ref="G22">AVERAGEIFS(house_goods_servies,year,$C22,months,$D22,sector,"rural+urban")</f>
        <v>146.4</v>
      </c>
      <c r="H22" s="32" cm="1">
        <f t="array" ref="H22">AVERAGEIFS(health,year,$C22,months,$D22,sector,"rural+urban")</f>
        <v>152.30000000000001</v>
      </c>
      <c r="I22" s="32" cm="1">
        <f t="array" ref="I22">AVERAGEIFS(trans_comu,year,$C22,months,$D22,sector,"rural+urban")</f>
        <v>129.9</v>
      </c>
    </row>
    <row r="24" spans="3:17" x14ac:dyDescent="0.25">
      <c r="C24" s="46" t="s">
        <v>1</v>
      </c>
      <c r="D24" s="47" t="s">
        <v>179</v>
      </c>
      <c r="E24" s="46" t="s">
        <v>15</v>
      </c>
      <c r="F24" s="46" t="s">
        <v>21</v>
      </c>
      <c r="G24" s="46" t="s">
        <v>22</v>
      </c>
      <c r="H24" s="46" t="s">
        <v>23</v>
      </c>
      <c r="I24" s="46" t="s">
        <v>24</v>
      </c>
    </row>
    <row r="25" spans="3:17" x14ac:dyDescent="0.25">
      <c r="C25" s="15">
        <v>2020</v>
      </c>
      <c r="D25" s="15" t="s">
        <v>188</v>
      </c>
      <c r="E25" s="15" cm="1">
        <f t="array" ref="E25">AVERAGEIFS(Food_beverages,year,$C25,months,$D25,sector,"rural+urban")</f>
        <v>154</v>
      </c>
      <c r="F25" s="15" cm="1">
        <f t="array" ref="F25">AVERAGEIFS(Fuel_lights,year,$C25,months,$D25,sector,"rural+urban")</f>
        <v>141.9</v>
      </c>
      <c r="G25" s="15" cm="1">
        <f t="array" ref="G25">AVERAGEIFS(house_goods_servies,year,$C25,months,$D25,sector,"rural+urban")</f>
        <v>146.4</v>
      </c>
      <c r="H25" s="15" cm="1">
        <f t="array" ref="H25">AVERAGEIFS(health,year,$C25,months,$D25,sector,"rural+urban")</f>
        <v>154.4</v>
      </c>
      <c r="I25" s="15" cm="1">
        <f t="array" ref="I25">AVERAGEIFS(trans_comu,year,$C25,months,$D25,sector,"rural+urban")</f>
        <v>135</v>
      </c>
    </row>
    <row r="26" spans="3:17" x14ac:dyDescent="0.25">
      <c r="C26" s="15">
        <v>2020</v>
      </c>
      <c r="D26" s="15" t="s">
        <v>189</v>
      </c>
      <c r="E26" s="15" cm="1">
        <f t="array" ref="E26">AVERAGEIFS(Food_beverages,year,$C26,months,$D26,sector,"rural+urban")</f>
        <v>154</v>
      </c>
      <c r="F26" s="15" cm="1">
        <f t="array" ref="F26">AVERAGEIFS(Fuel_lights,year,$C26,months,$D26,sector,"rural+urban")</f>
        <v>141.9</v>
      </c>
      <c r="G26" s="15" cm="1">
        <f t="array" ref="G26">AVERAGEIFS(house_goods_servies,year,$C26,months,$D26,sector,"rural+urban")</f>
        <v>146.4</v>
      </c>
      <c r="H26" s="15" cm="1">
        <f t="array" ref="H26">AVERAGEIFS(health,year,$C26,months,$D26,sector,"rural+urban")</f>
        <v>154.4</v>
      </c>
      <c r="I26" s="15" cm="1">
        <f t="array" ref="I26">AVERAGEIFS(trans_comu,year,$C26,months,$D26,sector,"rural+urban")</f>
        <v>135</v>
      </c>
    </row>
    <row r="27" spans="3:17" x14ac:dyDescent="0.25">
      <c r="C27" s="15">
        <v>2020</v>
      </c>
      <c r="D27" s="15" t="s">
        <v>190</v>
      </c>
      <c r="E27" s="15" cm="1">
        <f t="array" ref="E27">AVERAGEIFS(Food_beverages,year,$C27,months,$D27,sector,"rural+urban")</f>
        <v>157</v>
      </c>
      <c r="F27" s="15" cm="1">
        <f t="array" ref="F27">AVERAGEIFS(Fuel_lights,year,$C27,months,$D27,sector,"rural+urban")</f>
        <v>143</v>
      </c>
      <c r="G27" s="15" cm="1">
        <f t="array" ref="G27">AVERAGEIFS(house_goods_servies,year,$C27,months,$D27,sector,"rural+urban")</f>
        <v>148.4</v>
      </c>
      <c r="H27" s="15" cm="1">
        <f t="array" ref="H27">AVERAGEIFS(health,year,$C27,months,$D27,sector,"rural+urban")</f>
        <v>155</v>
      </c>
      <c r="I27" s="15" cm="1">
        <f t="array" ref="I27">AVERAGEIFS(trans_comu,year,$C27,months,$D27,sector,"rural+urban")</f>
        <v>138.5</v>
      </c>
    </row>
    <row r="28" spans="3:17" x14ac:dyDescent="0.25">
      <c r="C28" s="15">
        <v>2020</v>
      </c>
      <c r="D28" s="15" t="s">
        <v>191</v>
      </c>
      <c r="E28" s="15" cm="1">
        <f t="array" ref="E28">AVERAGEIFS(Food_beverages,year,$C28,months,$D28,sector,"rural+urban")</f>
        <v>158</v>
      </c>
      <c r="F28" s="15" cm="1">
        <f t="array" ref="F28">AVERAGEIFS(Fuel_lights,year,$C28,months,$D28,sector,"rural+urban")</f>
        <v>142.9</v>
      </c>
      <c r="G28" s="15" cm="1">
        <f t="array" ref="G28">AVERAGEIFS(house_goods_servies,year,$C28,months,$D28,sector,"rural+urban")</f>
        <v>148.69999999999999</v>
      </c>
      <c r="H28" s="15" cm="1">
        <f t="array" ref="H28">AVERAGEIFS(health,year,$C28,months,$D28,sector,"rural+urban")</f>
        <v>155.6</v>
      </c>
      <c r="I28" s="15" cm="1">
        <f t="array" ref="I28">AVERAGEIFS(trans_comu,year,$C28,months,$D28,sector,"rural+urban")</f>
        <v>139.6</v>
      </c>
    </row>
    <row r="29" spans="3:17" x14ac:dyDescent="0.25">
      <c r="C29" s="15">
        <v>2020</v>
      </c>
      <c r="D29" s="15" t="s">
        <v>192</v>
      </c>
      <c r="E29" s="15" cm="1">
        <f t="array" ref="E29">AVERAGEIFS(Food_beverages,year,$C29,months,$D29,sector,"rural+urban")</f>
        <v>161.4</v>
      </c>
      <c r="F29" s="15" cm="1">
        <f t="array" ref="F29">AVERAGEIFS(Fuel_lights,year,$C29,months,$D29,sector,"rural+urban")</f>
        <v>143.1</v>
      </c>
      <c r="G29" s="15" cm="1">
        <f t="array" ref="G29">AVERAGEIFS(house_goods_servies,year,$C29,months,$D29,sector,"rural+urban")</f>
        <v>148.69999999999999</v>
      </c>
      <c r="H29" s="15" cm="1">
        <f t="array" ref="H29">AVERAGEIFS(health,year,$C29,months,$D29,sector,"rural+urban")</f>
        <v>156.30000000000001</v>
      </c>
      <c r="I29" s="15" cm="1">
        <f t="array" ref="I29">AVERAGEIFS(trans_comu,year,$C29,months,$D29,sector,"rural+urban")</f>
        <v>140.6</v>
      </c>
    </row>
    <row r="30" spans="3:17" x14ac:dyDescent="0.25">
      <c r="C30" s="15">
        <v>2020</v>
      </c>
      <c r="D30" s="15" t="s">
        <v>193</v>
      </c>
      <c r="E30" s="15" cm="1">
        <f t="array" ref="E30">AVERAGEIFS(Food_beverages,year,$C30,months,$D30,sector,"rural+urban")</f>
        <v>164.7</v>
      </c>
      <c r="F30" s="15" cm="1">
        <f t="array" ref="F30">AVERAGEIFS(Fuel_lights,year,$C30,months,$D30,sector,"rural+urban")</f>
        <v>143.6</v>
      </c>
      <c r="G30" s="15" cm="1">
        <f t="array" ref="G30">AVERAGEIFS(house_goods_servies,year,$C30,months,$D30,sector,"rural+urban")</f>
        <v>149.19999999999999</v>
      </c>
      <c r="H30" s="15" cm="1">
        <f t="array" ref="H30">AVERAGEIFS(health,year,$C30,months,$D30,sector,"rural+urban")</f>
        <v>157.19999999999999</v>
      </c>
      <c r="I30" s="15" cm="1">
        <f t="array" ref="I30">AVERAGEIFS(trans_comu,year,$C30,months,$D30,sector,"rural+urban")</f>
        <v>140.4</v>
      </c>
    </row>
    <row r="31" spans="3:17" x14ac:dyDescent="0.25">
      <c r="C31" s="15">
        <v>2020</v>
      </c>
      <c r="D31" s="15" t="s">
        <v>194</v>
      </c>
      <c r="E31" s="15" cm="1">
        <f t="array" ref="E31">AVERAGEIFS(Food_beverages,year,$C31,months,$D31,sector,"rural+urban")</f>
        <v>165.4</v>
      </c>
      <c r="F31" s="15" cm="1">
        <f t="array" ref="F31">AVERAGEIFS(Fuel_lights,year,$C31,months,$D31,sector,"rural+urban")</f>
        <v>144.6</v>
      </c>
      <c r="G31" s="15" cm="1">
        <f t="array" ref="G31">AVERAGEIFS(house_goods_servies,year,$C31,months,$D31,sector,"rural+urban")</f>
        <v>149.69999999999999</v>
      </c>
      <c r="H31" s="15" cm="1">
        <f t="array" ref="H31">AVERAGEIFS(health,year,$C31,months,$D31,sector,"rural+urban")</f>
        <v>158.30000000000001</v>
      </c>
      <c r="I31" s="15" cm="1">
        <f t="array" ref="I31">AVERAGEIFS(trans_comu,year,$C31,months,$D31,sector,"rural+urban")</f>
        <v>140.69999999999999</v>
      </c>
    </row>
    <row r="32" spans="3:17" x14ac:dyDescent="0.25">
      <c r="C32" s="15">
        <v>2021</v>
      </c>
      <c r="D32" s="15" t="s">
        <v>183</v>
      </c>
      <c r="E32" s="15" cm="1">
        <f t="array" ref="E32">AVERAGEIFS(Food_beverages,year,$C32,months,$D32,sector,"rural+urban")</f>
        <v>161</v>
      </c>
      <c r="F32" s="15" cm="1">
        <f t="array" ref="F32">AVERAGEIFS(Fuel_lights,year,$C32,months,$D32,sector,"rural+urban")</f>
        <v>147.9</v>
      </c>
      <c r="G32" s="15" cm="1">
        <f t="array" ref="G32">AVERAGEIFS(house_goods_servies,year,$C32,months,$D32,sector,"rural+urban")</f>
        <v>150</v>
      </c>
      <c r="H32" s="15" cm="1">
        <f t="array" ref="H32">AVERAGEIFS(health,year,$C32,months,$D32,sector,"rural+urban")</f>
        <v>159.30000000000001</v>
      </c>
      <c r="I32" s="15" cm="1">
        <f t="array" ref="I32">AVERAGEIFS(trans_comu,year,$C32,months,$D32,sector,"rural+urban")</f>
        <v>141.9</v>
      </c>
    </row>
    <row r="33" spans="3:9" x14ac:dyDescent="0.25">
      <c r="C33" s="15">
        <v>2021</v>
      </c>
      <c r="D33" s="15" t="s">
        <v>184</v>
      </c>
      <c r="E33" s="15" cm="1">
        <f t="array" ref="E33">AVERAGEIFS(Food_beverages,year,$C33,months,$D33,sector,"rural+urban")</f>
        <v>156.9</v>
      </c>
      <c r="F33" s="15" cm="1">
        <f t="array" ref="F33">AVERAGEIFS(Fuel_lights,year,$C33,months,$D33,sector,"rural+urban")</f>
        <v>152.4</v>
      </c>
      <c r="G33" s="15" cm="1">
        <f t="array" ref="G33">AVERAGEIFS(house_goods_servies,year,$C33,months,$D33,sector,"rural+urban")</f>
        <v>150.9</v>
      </c>
      <c r="H33" s="15" cm="1">
        <f t="array" ref="H33">AVERAGEIFS(health,year,$C33,months,$D33,sector,"rural+urban")</f>
        <v>161.30000000000001</v>
      </c>
      <c r="I33" s="15" cm="1">
        <f t="array" ref="I33">AVERAGEIFS(trans_comu,year,$C33,months,$D33,sector,"rural+urban")</f>
        <v>145.1</v>
      </c>
    </row>
    <row r="34" spans="3:9" x14ac:dyDescent="0.25">
      <c r="C34" s="15">
        <v>2021</v>
      </c>
      <c r="D34" s="15" t="s">
        <v>185</v>
      </c>
      <c r="E34" s="15" cm="1">
        <f t="array" ref="E34">AVERAGEIFS(Food_beverages,year,$C34,months,$D34,sector,"rural+urban")</f>
        <v>156.69999999999999</v>
      </c>
      <c r="F34" s="15" cm="1">
        <f t="array" ref="F34">AVERAGEIFS(Fuel_lights,year,$C34,months,$D34,sector,"rural+urban")</f>
        <v>155.5</v>
      </c>
      <c r="G34" s="15" cm="1">
        <f t="array" ref="G34">AVERAGEIFS(house_goods_servies,year,$C34,months,$D34,sector,"rural+urban")</f>
        <v>151.19999999999999</v>
      </c>
      <c r="H34" s="15" cm="1">
        <f t="array" ref="H34">AVERAGEIFS(health,year,$C34,months,$D34,sector,"rural+urban")</f>
        <v>161.69999999999999</v>
      </c>
      <c r="I34" s="15" cm="1">
        <f t="array" ref="I34">AVERAGEIFS(trans_comu,year,$C34,months,$D34,sector,"rural+urban")</f>
        <v>146.19999999999999</v>
      </c>
    </row>
    <row r="35" spans="3:9" x14ac:dyDescent="0.25">
      <c r="C35" s="15">
        <v>2021</v>
      </c>
      <c r="D35" s="15" t="s">
        <v>186</v>
      </c>
      <c r="E35" s="15" cm="1">
        <f t="array" ref="E35">AVERAGEIFS(Food_beverages,year,$C35,months,$D35,sector,"rural+urban")</f>
        <v>158</v>
      </c>
      <c r="F35" s="15" cm="1">
        <f t="array" ref="F35">AVERAGEIFS(Fuel_lights,year,$C35,months,$D35,sector,"rural+urban")</f>
        <v>155.6</v>
      </c>
      <c r="G35" s="15" cm="1">
        <f t="array" ref="G35">AVERAGEIFS(house_goods_servies,year,$C35,months,$D35,sector,"rural+urban")</f>
        <v>151.80000000000001</v>
      </c>
      <c r="H35" s="15" cm="1">
        <f t="array" ref="H35">AVERAGEIFS(health,year,$C35,months,$D35,sector,"rural+urban")</f>
        <v>162.30000000000001</v>
      </c>
      <c r="I35" s="15" cm="1">
        <f t="array" ref="I35">AVERAGEIFS(trans_comu,year,$C35,months,$D35,sector,"rural+urban")</f>
        <v>146.6</v>
      </c>
    </row>
    <row r="36" spans="3:9" x14ac:dyDescent="0.25">
      <c r="C36" s="15">
        <v>2021</v>
      </c>
      <c r="D36" s="15" t="s">
        <v>187</v>
      </c>
      <c r="E36" s="15" cm="1">
        <f t="array" ref="E36">AVERAGEIFS(Food_beverages,year,$C36,months,$D36,sector,"rural+urban")</f>
        <v>160.69999999999999</v>
      </c>
      <c r="F36" s="15" cm="1">
        <f t="array" ref="F36">AVERAGEIFS(Fuel_lights,year,$C36,months,$D36,sector,"rural+urban")</f>
        <v>159.4</v>
      </c>
      <c r="G36" s="15" cm="1">
        <f t="array" ref="G36">AVERAGEIFS(house_goods_servies,year,$C36,months,$D36,sector,"rural+urban")</f>
        <v>154.69999999999999</v>
      </c>
      <c r="H36" s="15" cm="1">
        <f t="array" ref="H36">AVERAGEIFS(health,year,$C36,months,$D36,sector,"rural+urban")</f>
        <v>165.8</v>
      </c>
      <c r="I36" s="15" cm="1">
        <f t="array" ref="I36">AVERAGEIFS(trans_comu,year,$C36,months,$D36,sector,"rural+urban")</f>
        <v>148.9</v>
      </c>
    </row>
  </sheetData>
  <phoneticPr fontId="6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E29F-67D0-4E5F-9969-556B4B674780}">
  <dimension ref="A1:AN70"/>
  <sheetViews>
    <sheetView topLeftCell="B6" zoomScaleNormal="100" workbookViewId="0">
      <selection activeCell="B6" sqref="B6"/>
    </sheetView>
  </sheetViews>
  <sheetFormatPr defaultRowHeight="15" x14ac:dyDescent="0.25"/>
  <cols>
    <col min="1" max="1" width="33.42578125" bestFit="1" customWidth="1"/>
    <col min="2" max="2" width="28.42578125" bestFit="1" customWidth="1"/>
    <col min="3" max="3" width="28.42578125" customWidth="1"/>
    <col min="4" max="4" width="12.28515625" customWidth="1"/>
    <col min="5" max="5" width="13.140625" customWidth="1"/>
  </cols>
  <sheetData>
    <row r="1" spans="1:40" x14ac:dyDescent="0.25">
      <c r="C1" t="s">
        <v>203</v>
      </c>
      <c r="E1" s="54">
        <v>53.6</v>
      </c>
      <c r="F1" s="54">
        <v>60.46</v>
      </c>
      <c r="G1" s="54">
        <v>63.83</v>
      </c>
      <c r="H1" s="54">
        <v>62.95</v>
      </c>
      <c r="I1" s="54">
        <v>66.400000000000006</v>
      </c>
      <c r="J1" s="54">
        <v>71.8</v>
      </c>
      <c r="K1" s="54">
        <v>73.28</v>
      </c>
      <c r="L1" s="54">
        <v>68.87</v>
      </c>
      <c r="M1" s="54">
        <v>72.8</v>
      </c>
      <c r="N1" s="54">
        <v>82.06</v>
      </c>
      <c r="O1" s="54">
        <v>79.92</v>
      </c>
      <c r="P1" s="54">
        <v>72.87</v>
      </c>
      <c r="Q1" s="54">
        <v>83.92</v>
      </c>
      <c r="R1" s="54">
        <v>93.54</v>
      </c>
      <c r="S1" s="54">
        <v>112.4</v>
      </c>
      <c r="T1" s="54">
        <v>103.41</v>
      </c>
      <c r="U1" s="54">
        <v>110.1</v>
      </c>
      <c r="V1" s="54">
        <v>116.8</v>
      </c>
      <c r="W1" s="54">
        <v>105.08</v>
      </c>
      <c r="X1" s="54">
        <v>95.97</v>
      </c>
      <c r="Y1" s="54">
        <v>88.22</v>
      </c>
      <c r="Z1" s="54">
        <v>90.33</v>
      </c>
      <c r="AA1" s="54">
        <v>87.38</v>
      </c>
      <c r="AB1" s="54">
        <v>78.069999999999993</v>
      </c>
      <c r="AC1" s="54">
        <v>80.41</v>
      </c>
      <c r="AD1" s="54">
        <v>80.25</v>
      </c>
      <c r="AE1" s="54">
        <v>76.47</v>
      </c>
      <c r="AF1" s="54">
        <v>82.46</v>
      </c>
      <c r="AG1" s="54">
        <v>74.12</v>
      </c>
      <c r="AH1" s="51"/>
      <c r="AI1" s="51"/>
      <c r="AJ1" s="51"/>
      <c r="AK1" s="51"/>
      <c r="AL1" s="51"/>
      <c r="AM1" s="51"/>
      <c r="AN1" s="51"/>
    </row>
    <row r="2" spans="1:40" x14ac:dyDescent="0.25">
      <c r="A2" s="15"/>
      <c r="B2" s="15"/>
      <c r="C2" s="15"/>
      <c r="D2" s="15"/>
      <c r="E2" s="30" t="s">
        <v>183</v>
      </c>
      <c r="F2" s="30" t="s">
        <v>36</v>
      </c>
      <c r="G2" s="30" t="s">
        <v>185</v>
      </c>
      <c r="H2" s="30" t="s">
        <v>186</v>
      </c>
      <c r="I2" s="30" t="s">
        <v>187</v>
      </c>
      <c r="J2" s="30" t="s">
        <v>188</v>
      </c>
      <c r="K2" s="30" t="s">
        <v>189</v>
      </c>
      <c r="L2" s="30" t="s">
        <v>190</v>
      </c>
      <c r="M2" s="30" t="s">
        <v>191</v>
      </c>
      <c r="N2" s="30" t="s">
        <v>192</v>
      </c>
      <c r="O2" s="30" t="s">
        <v>193</v>
      </c>
      <c r="P2" s="30" t="s">
        <v>194</v>
      </c>
      <c r="Q2" s="30" t="s">
        <v>183</v>
      </c>
      <c r="R2" s="30" t="s">
        <v>184</v>
      </c>
      <c r="S2" s="30" t="s">
        <v>185</v>
      </c>
      <c r="T2" s="30" t="s">
        <v>186</v>
      </c>
      <c r="U2" s="30" t="s">
        <v>187</v>
      </c>
      <c r="V2" s="30" t="s">
        <v>188</v>
      </c>
      <c r="W2" s="30" t="s">
        <v>189</v>
      </c>
      <c r="X2" s="30" t="s">
        <v>190</v>
      </c>
      <c r="Y2" s="30" t="s">
        <v>191</v>
      </c>
      <c r="Z2" s="30" t="s">
        <v>192</v>
      </c>
      <c r="AA2" s="30" t="s">
        <v>193</v>
      </c>
      <c r="AB2" s="30" t="s">
        <v>194</v>
      </c>
      <c r="AC2" s="30" t="s">
        <v>183</v>
      </c>
      <c r="AD2" s="30" t="s">
        <v>184</v>
      </c>
      <c r="AE2" s="30" t="s">
        <v>185</v>
      </c>
      <c r="AF2" s="30" t="s">
        <v>186</v>
      </c>
      <c r="AG2" s="30" t="s">
        <v>187</v>
      </c>
    </row>
    <row r="3" spans="1:40" x14ac:dyDescent="0.25">
      <c r="A3" s="52" t="s">
        <v>200</v>
      </c>
      <c r="B3" s="52" t="s">
        <v>201</v>
      </c>
      <c r="C3" s="52" t="s">
        <v>0</v>
      </c>
      <c r="D3" s="53" t="s">
        <v>202</v>
      </c>
      <c r="E3" s="13">
        <v>2021</v>
      </c>
      <c r="F3" s="13">
        <v>2021</v>
      </c>
      <c r="G3" s="13">
        <v>2021</v>
      </c>
      <c r="H3" s="13">
        <v>2021</v>
      </c>
      <c r="I3" s="13">
        <v>2021</v>
      </c>
      <c r="J3" s="13">
        <v>2021</v>
      </c>
      <c r="K3" s="13">
        <v>2021</v>
      </c>
      <c r="L3" s="13">
        <v>2021</v>
      </c>
      <c r="M3" s="13">
        <v>2021</v>
      </c>
      <c r="N3" s="13">
        <v>2021</v>
      </c>
      <c r="O3" s="13">
        <v>2021</v>
      </c>
      <c r="P3" s="13">
        <v>2021</v>
      </c>
      <c r="Q3" s="13">
        <v>2022</v>
      </c>
      <c r="R3" s="13">
        <v>2022</v>
      </c>
      <c r="S3" s="13">
        <v>2022</v>
      </c>
      <c r="T3" s="13">
        <v>2022</v>
      </c>
      <c r="U3" s="13">
        <v>2022</v>
      </c>
      <c r="V3" s="13">
        <v>2022</v>
      </c>
      <c r="W3" s="13">
        <v>2022</v>
      </c>
      <c r="X3" s="13">
        <v>2022</v>
      </c>
      <c r="Y3" s="13">
        <v>2022</v>
      </c>
      <c r="Z3" s="13">
        <v>2022</v>
      </c>
      <c r="AA3" s="13">
        <v>2022</v>
      </c>
      <c r="AB3" s="13">
        <v>2022</v>
      </c>
      <c r="AC3" s="13">
        <v>2023</v>
      </c>
      <c r="AD3" s="13">
        <v>2023</v>
      </c>
      <c r="AE3" s="13">
        <v>2023</v>
      </c>
      <c r="AF3" s="13">
        <v>2023</v>
      </c>
      <c r="AG3" s="13">
        <v>2023</v>
      </c>
    </row>
    <row r="4" spans="1:40" x14ac:dyDescent="0.25">
      <c r="A4" s="15" t="s">
        <v>3</v>
      </c>
      <c r="B4" s="15" t="s">
        <v>168</v>
      </c>
      <c r="C4" s="15" t="s">
        <v>35</v>
      </c>
      <c r="D4" s="18">
        <f>CORREL(E4:AG4,$E$1:$AG$1)</f>
        <v>0.23511164244552474</v>
      </c>
      <c r="E4" s="55" cm="1">
        <f t="array" ref="E4">AVERAGEIFS(cer_pro,year,E$3,months,E$2,sector,$C$4)</f>
        <v>144.9</v>
      </c>
      <c r="F4" s="15">
        <v>144.30000000000001</v>
      </c>
      <c r="G4" s="15">
        <v>144.1</v>
      </c>
      <c r="H4" s="15">
        <v>144.30000000000001</v>
      </c>
      <c r="I4" s="15">
        <v>146.30000000000001</v>
      </c>
      <c r="J4" s="15">
        <v>146.69999999999999</v>
      </c>
      <c r="K4" s="15">
        <v>146.4</v>
      </c>
      <c r="L4" s="15">
        <v>146.6</v>
      </c>
      <c r="M4" s="15">
        <v>146.6</v>
      </c>
      <c r="N4" s="15">
        <v>147.4</v>
      </c>
      <c r="O4" s="15">
        <v>148.19999999999999</v>
      </c>
      <c r="P4" s="15">
        <v>148.69999999999999</v>
      </c>
      <c r="Q4" s="15">
        <v>149.5</v>
      </c>
      <c r="R4" s="15">
        <v>150</v>
      </c>
      <c r="S4" s="15">
        <v>151.30000000000001</v>
      </c>
      <c r="T4" s="15">
        <v>152.9</v>
      </c>
      <c r="U4" s="15">
        <v>154.1</v>
      </c>
      <c r="V4" s="15">
        <v>155</v>
      </c>
      <c r="W4" s="15">
        <v>156.5</v>
      </c>
      <c r="X4" s="15">
        <v>160.30000000000001</v>
      </c>
      <c r="Y4" s="15">
        <v>163.5</v>
      </c>
      <c r="Z4" s="15">
        <v>165.2</v>
      </c>
      <c r="AA4" s="15">
        <v>167.4</v>
      </c>
      <c r="AB4" s="15">
        <v>169.2</v>
      </c>
      <c r="AC4" s="15">
        <v>173.8</v>
      </c>
      <c r="AD4" s="15">
        <v>174.4</v>
      </c>
      <c r="AE4" s="15">
        <v>174.4</v>
      </c>
      <c r="AF4" s="15">
        <v>173.8</v>
      </c>
      <c r="AG4" s="15">
        <v>173.7</v>
      </c>
    </row>
    <row r="5" spans="1:40" x14ac:dyDescent="0.25">
      <c r="A5" s="15" t="s">
        <v>4</v>
      </c>
      <c r="B5" s="15" t="s">
        <v>168</v>
      </c>
      <c r="C5" s="15" t="s">
        <v>35</v>
      </c>
      <c r="D5" s="18">
        <f t="shared" ref="D5:D29" si="0">CORREL(E5:AG5,$E$1:$AG$1)</f>
        <v>0.76321049243986772</v>
      </c>
      <c r="E5" s="55" cm="1">
        <f t="array" ref="E5">AVERAGEIFS(meat_fish,year,E$3,months,E$2,sector,$C$4)</f>
        <v>190.1</v>
      </c>
      <c r="F5" s="15">
        <v>186.5</v>
      </c>
      <c r="G5" s="15">
        <v>192.2</v>
      </c>
      <c r="H5" s="15">
        <v>198</v>
      </c>
      <c r="I5" s="15">
        <v>200.5</v>
      </c>
      <c r="J5" s="15">
        <v>202</v>
      </c>
      <c r="K5" s="15">
        <v>206.8</v>
      </c>
      <c r="L5" s="15">
        <v>204</v>
      </c>
      <c r="M5" s="15">
        <v>204</v>
      </c>
      <c r="N5" s="15">
        <v>204.6</v>
      </c>
      <c r="O5" s="15">
        <v>201.6</v>
      </c>
      <c r="P5" s="15">
        <v>198.8</v>
      </c>
      <c r="Q5" s="15">
        <v>198.7</v>
      </c>
      <c r="R5" s="15">
        <v>200.6</v>
      </c>
      <c r="S5" s="15">
        <v>210.7</v>
      </c>
      <c r="T5" s="15">
        <v>211.8</v>
      </c>
      <c r="U5" s="15">
        <v>217</v>
      </c>
      <c r="V5" s="15">
        <v>219.4</v>
      </c>
      <c r="W5" s="15">
        <v>213</v>
      </c>
      <c r="X5" s="15">
        <v>206.5</v>
      </c>
      <c r="Y5" s="15">
        <v>209.2</v>
      </c>
      <c r="Z5" s="15">
        <v>210.9</v>
      </c>
      <c r="AA5" s="15">
        <v>209.4</v>
      </c>
      <c r="AB5" s="15">
        <v>209</v>
      </c>
      <c r="AC5" s="15">
        <v>210.7</v>
      </c>
      <c r="AD5" s="15">
        <v>207.7</v>
      </c>
      <c r="AE5" s="15">
        <v>207.7</v>
      </c>
      <c r="AF5" s="15">
        <v>209.3</v>
      </c>
      <c r="AG5" s="15">
        <v>214.3</v>
      </c>
    </row>
    <row r="6" spans="1:40" x14ac:dyDescent="0.25">
      <c r="A6" s="15" t="s">
        <v>5</v>
      </c>
      <c r="B6" s="15" t="s">
        <v>168</v>
      </c>
      <c r="C6" s="15" t="s">
        <v>35</v>
      </c>
      <c r="D6" s="18">
        <f t="shared" si="0"/>
        <v>-0.18210148953505442</v>
      </c>
      <c r="E6" s="55" cm="1">
        <f t="array" ref="E6">AVERAGEIFS(egg,year,E$3,months,E$2,sector,$C$4)</f>
        <v>175.3</v>
      </c>
      <c r="F6" s="15">
        <v>168.7</v>
      </c>
      <c r="G6" s="15">
        <v>163.80000000000001</v>
      </c>
      <c r="H6" s="15">
        <v>164.6</v>
      </c>
      <c r="I6" s="15">
        <v>170.3</v>
      </c>
      <c r="J6" s="15">
        <v>180.7</v>
      </c>
      <c r="K6" s="15">
        <v>182.2</v>
      </c>
      <c r="L6" s="15">
        <v>172.8</v>
      </c>
      <c r="M6" s="15">
        <v>172.8</v>
      </c>
      <c r="N6" s="15">
        <v>171.2</v>
      </c>
      <c r="O6" s="15">
        <v>173</v>
      </c>
      <c r="P6" s="15">
        <v>177.9</v>
      </c>
      <c r="Q6" s="15">
        <v>178.8</v>
      </c>
      <c r="R6" s="15">
        <v>175.8</v>
      </c>
      <c r="S6" s="15">
        <v>167.8</v>
      </c>
      <c r="T6" s="15">
        <v>164.5</v>
      </c>
      <c r="U6" s="15">
        <v>162.4</v>
      </c>
      <c r="V6" s="15">
        <v>170.8</v>
      </c>
      <c r="W6" s="15">
        <v>175.2</v>
      </c>
      <c r="X6" s="15">
        <v>169.2</v>
      </c>
      <c r="Y6" s="15">
        <v>169.7</v>
      </c>
      <c r="Z6" s="15">
        <v>170.9</v>
      </c>
      <c r="AA6" s="15">
        <v>181.4</v>
      </c>
      <c r="AB6" s="15">
        <v>190.2</v>
      </c>
      <c r="AC6" s="15">
        <v>194.5</v>
      </c>
      <c r="AD6" s="15">
        <v>175.2</v>
      </c>
      <c r="AE6" s="15">
        <v>175.2</v>
      </c>
      <c r="AF6" s="15">
        <v>169.6</v>
      </c>
      <c r="AG6" s="15">
        <v>173.2</v>
      </c>
    </row>
    <row r="7" spans="1:40" x14ac:dyDescent="0.25">
      <c r="A7" s="15" t="s">
        <v>6</v>
      </c>
      <c r="B7" s="15" t="s">
        <v>168</v>
      </c>
      <c r="C7" s="15" t="s">
        <v>35</v>
      </c>
      <c r="D7" s="18">
        <f t="shared" si="0"/>
        <v>0.33236564367299792</v>
      </c>
      <c r="E7" s="55" cm="1">
        <f t="array" ref="E7">AVERAGEIFS(Milk_pro,year,E$3,months,E$2,sector,$C$4)</f>
        <v>154.1</v>
      </c>
      <c r="F7" s="15">
        <v>154.69999999999999</v>
      </c>
      <c r="G7" s="15">
        <v>154.9</v>
      </c>
      <c r="H7" s="15">
        <v>155.4</v>
      </c>
      <c r="I7" s="15">
        <v>156.1</v>
      </c>
      <c r="J7" s="15">
        <v>156.19999999999999</v>
      </c>
      <c r="K7" s="15">
        <v>157.5</v>
      </c>
      <c r="L7" s="15">
        <v>158.4</v>
      </c>
      <c r="M7" s="15">
        <v>158.4</v>
      </c>
      <c r="N7" s="15">
        <v>158.69999999999999</v>
      </c>
      <c r="O7" s="15">
        <v>159.30000000000001</v>
      </c>
      <c r="P7" s="15">
        <v>159.9</v>
      </c>
      <c r="Q7" s="15">
        <v>160.5</v>
      </c>
      <c r="R7" s="15">
        <v>160.69999999999999</v>
      </c>
      <c r="S7" s="15">
        <v>162.19999999999999</v>
      </c>
      <c r="T7" s="15">
        <v>163.9</v>
      </c>
      <c r="U7" s="15">
        <v>164.9</v>
      </c>
      <c r="V7" s="15">
        <v>165.8</v>
      </c>
      <c r="W7" s="15">
        <v>166.6</v>
      </c>
      <c r="X7" s="15">
        <v>168.1</v>
      </c>
      <c r="Y7" s="15">
        <v>169.7</v>
      </c>
      <c r="Z7" s="15">
        <v>170.9</v>
      </c>
      <c r="AA7" s="15">
        <v>172.3</v>
      </c>
      <c r="AB7" s="15">
        <v>173.6</v>
      </c>
      <c r="AC7" s="15">
        <v>174.6</v>
      </c>
      <c r="AD7" s="15">
        <v>177.3</v>
      </c>
      <c r="AE7" s="15">
        <v>177.3</v>
      </c>
      <c r="AF7" s="15">
        <v>178.4</v>
      </c>
      <c r="AG7" s="15">
        <v>179.5</v>
      </c>
    </row>
    <row r="8" spans="1:40" x14ac:dyDescent="0.25">
      <c r="A8" s="15" t="s">
        <v>7</v>
      </c>
      <c r="B8" s="15" t="s">
        <v>168</v>
      </c>
      <c r="C8" s="15" t="s">
        <v>35</v>
      </c>
      <c r="D8" s="18">
        <f t="shared" si="0"/>
        <v>0.81719498053768935</v>
      </c>
      <c r="E8" s="55" cm="1">
        <f t="array" ref="E8">AVERAGEIFS(oils_fts,year,E$3,months,E$2,sector,$C$4)</f>
        <v>150.9</v>
      </c>
      <c r="F8" s="15">
        <v>158.69999999999999</v>
      </c>
      <c r="G8" s="15">
        <v>163.9</v>
      </c>
      <c r="H8" s="15">
        <v>170.1</v>
      </c>
      <c r="I8" s="15">
        <v>178.7</v>
      </c>
      <c r="J8" s="15">
        <v>183.7</v>
      </c>
      <c r="K8" s="15">
        <v>182.1</v>
      </c>
      <c r="L8" s="15">
        <v>188</v>
      </c>
      <c r="M8" s="15">
        <v>188</v>
      </c>
      <c r="N8" s="15">
        <v>190.6</v>
      </c>
      <c r="O8" s="15">
        <v>190.1</v>
      </c>
      <c r="P8" s="15">
        <v>187.6</v>
      </c>
      <c r="Q8" s="15">
        <v>184.7</v>
      </c>
      <c r="R8" s="15">
        <v>184.9</v>
      </c>
      <c r="S8" s="15">
        <v>194.6</v>
      </c>
      <c r="T8" s="15">
        <v>199.5</v>
      </c>
      <c r="U8" s="15">
        <v>202.4</v>
      </c>
      <c r="V8" s="15">
        <v>200.9</v>
      </c>
      <c r="W8" s="15">
        <v>195.8</v>
      </c>
      <c r="X8" s="15">
        <v>192.4</v>
      </c>
      <c r="Y8" s="15">
        <v>188.7</v>
      </c>
      <c r="Z8" s="15">
        <v>186.5</v>
      </c>
      <c r="AA8" s="15">
        <v>188.9</v>
      </c>
      <c r="AB8" s="15">
        <v>188.5</v>
      </c>
      <c r="AC8" s="15">
        <v>187.2</v>
      </c>
      <c r="AD8" s="15">
        <v>179.3</v>
      </c>
      <c r="AE8" s="15">
        <v>179.2</v>
      </c>
      <c r="AF8" s="15">
        <v>174.9</v>
      </c>
      <c r="AG8" s="15">
        <v>170</v>
      </c>
    </row>
    <row r="9" spans="1:40" x14ac:dyDescent="0.25">
      <c r="A9" s="15" t="s">
        <v>8</v>
      </c>
      <c r="B9" s="15" t="s">
        <v>168</v>
      </c>
      <c r="C9" s="15" t="s">
        <v>35</v>
      </c>
      <c r="D9" s="18">
        <f t="shared" si="0"/>
        <v>0.46305848205264005</v>
      </c>
      <c r="E9" s="55" cm="1">
        <f t="array" ref="E9">AVERAGEIFS(fruits,year,E$3,months,E$2,sector,$C$4)</f>
        <v>149.6</v>
      </c>
      <c r="F9" s="15">
        <v>150.69999999999999</v>
      </c>
      <c r="G9" s="15">
        <v>153.69999999999999</v>
      </c>
      <c r="H9" s="15">
        <v>164.4</v>
      </c>
      <c r="I9" s="15">
        <v>167.1</v>
      </c>
      <c r="J9" s="15">
        <v>164.6</v>
      </c>
      <c r="K9" s="15">
        <v>163.9</v>
      </c>
      <c r="L9" s="15">
        <v>156.80000000000001</v>
      </c>
      <c r="M9" s="15">
        <v>156.69999999999999</v>
      </c>
      <c r="N9" s="15">
        <v>155.69999999999999</v>
      </c>
      <c r="O9" s="15">
        <v>156.5</v>
      </c>
      <c r="P9" s="15">
        <v>154.9</v>
      </c>
      <c r="Q9" s="15">
        <v>153.69999999999999</v>
      </c>
      <c r="R9" s="15">
        <v>153.69999999999999</v>
      </c>
      <c r="S9" s="15">
        <v>157.6</v>
      </c>
      <c r="T9" s="15">
        <v>172.6</v>
      </c>
      <c r="U9" s="15">
        <v>171</v>
      </c>
      <c r="V9" s="15">
        <v>169.7</v>
      </c>
      <c r="W9" s="15">
        <v>174.2</v>
      </c>
      <c r="X9" s="15">
        <v>172.9</v>
      </c>
      <c r="Y9" s="15">
        <v>165.7</v>
      </c>
      <c r="Z9" s="15">
        <v>163.80000000000001</v>
      </c>
      <c r="AA9" s="15">
        <v>160.69999999999999</v>
      </c>
      <c r="AB9" s="15">
        <v>158</v>
      </c>
      <c r="AC9" s="15">
        <v>158.30000000000001</v>
      </c>
      <c r="AD9" s="15">
        <v>169.5</v>
      </c>
      <c r="AE9" s="15">
        <v>169.5</v>
      </c>
      <c r="AF9" s="15">
        <v>176.3</v>
      </c>
      <c r="AG9" s="15">
        <v>172.2</v>
      </c>
    </row>
    <row r="10" spans="1:40" x14ac:dyDescent="0.25">
      <c r="A10" s="15" t="s">
        <v>9</v>
      </c>
      <c r="B10" s="15" t="s">
        <v>168</v>
      </c>
      <c r="C10" s="15" t="s">
        <v>35</v>
      </c>
      <c r="D10" s="18">
        <f t="shared" si="0"/>
        <v>0.34036016023012045</v>
      </c>
      <c r="E10" s="55" cm="1">
        <f t="array" ref="E10">AVERAGEIFS(vegetables,year,E$3,months,E$2,sector,$C$4)</f>
        <v>194.2</v>
      </c>
      <c r="F10" s="15">
        <v>160</v>
      </c>
      <c r="G10" s="15">
        <v>149.5</v>
      </c>
      <c r="H10" s="15">
        <v>144.1</v>
      </c>
      <c r="I10" s="15">
        <v>147.9</v>
      </c>
      <c r="J10" s="15">
        <v>155.4</v>
      </c>
      <c r="K10" s="15">
        <v>164.2</v>
      </c>
      <c r="L10" s="15">
        <v>162.19999999999999</v>
      </c>
      <c r="M10" s="15">
        <v>162.30000000000001</v>
      </c>
      <c r="N10" s="15">
        <v>185.3</v>
      </c>
      <c r="O10" s="15">
        <v>199.2</v>
      </c>
      <c r="P10" s="15">
        <v>188.3</v>
      </c>
      <c r="Q10" s="15">
        <v>174.3</v>
      </c>
      <c r="R10" s="15">
        <v>169.7</v>
      </c>
      <c r="S10" s="15">
        <v>166.9</v>
      </c>
      <c r="T10" s="15">
        <v>166.2</v>
      </c>
      <c r="U10" s="15">
        <v>174.9</v>
      </c>
      <c r="V10" s="15">
        <v>182.3</v>
      </c>
      <c r="W10" s="15">
        <v>182.1</v>
      </c>
      <c r="X10" s="15">
        <v>186.7</v>
      </c>
      <c r="Y10" s="15">
        <v>191.8</v>
      </c>
      <c r="Z10" s="15">
        <v>199.7</v>
      </c>
      <c r="AA10" s="15">
        <v>183.1</v>
      </c>
      <c r="AB10" s="15">
        <v>159.9</v>
      </c>
      <c r="AC10" s="15">
        <v>153.9</v>
      </c>
      <c r="AD10" s="15">
        <v>152.69999999999999</v>
      </c>
      <c r="AE10" s="15">
        <v>152.80000000000001</v>
      </c>
      <c r="AF10" s="15">
        <v>155.4</v>
      </c>
      <c r="AG10" s="15">
        <v>161</v>
      </c>
    </row>
    <row r="11" spans="1:40" x14ac:dyDescent="0.25">
      <c r="A11" s="15" t="s">
        <v>10</v>
      </c>
      <c r="B11" s="15" t="s">
        <v>168</v>
      </c>
      <c r="C11" s="15" t="s">
        <v>35</v>
      </c>
      <c r="D11" s="18">
        <f t="shared" si="0"/>
        <v>0.15833175905839053</v>
      </c>
      <c r="E11" s="55" cm="1">
        <f t="array" ref="E11">AVERAGEIFS(Pulses_prod,year,E$3,months,E$2,sector,$C$4)</f>
        <v>160.4</v>
      </c>
      <c r="F11" s="15">
        <v>158.80000000000001</v>
      </c>
      <c r="G11" s="15">
        <v>159.80000000000001</v>
      </c>
      <c r="H11" s="15">
        <v>161.69999999999999</v>
      </c>
      <c r="I11" s="15">
        <v>165.4</v>
      </c>
      <c r="J11" s="15">
        <v>166</v>
      </c>
      <c r="K11" s="15">
        <v>164</v>
      </c>
      <c r="L11" s="15">
        <v>164.1</v>
      </c>
      <c r="M11" s="15">
        <v>164.1</v>
      </c>
      <c r="N11" s="15">
        <v>165.2</v>
      </c>
      <c r="O11" s="15">
        <v>165.3</v>
      </c>
      <c r="P11" s="15">
        <v>164.4</v>
      </c>
      <c r="Q11" s="15">
        <v>163.9</v>
      </c>
      <c r="R11" s="15">
        <v>163.69999999999999</v>
      </c>
      <c r="S11" s="15">
        <v>163.9</v>
      </c>
      <c r="T11" s="15">
        <v>164.7</v>
      </c>
      <c r="U11" s="15">
        <v>164.7</v>
      </c>
      <c r="V11" s="15">
        <v>164.3</v>
      </c>
      <c r="W11" s="15">
        <v>164.3</v>
      </c>
      <c r="X11" s="15">
        <v>167.2</v>
      </c>
      <c r="Y11" s="15">
        <v>169.1</v>
      </c>
      <c r="Z11" s="15">
        <v>169.8</v>
      </c>
      <c r="AA11" s="15">
        <v>170.5</v>
      </c>
      <c r="AB11" s="15">
        <v>170.8</v>
      </c>
      <c r="AC11" s="15">
        <v>170.9</v>
      </c>
      <c r="AD11" s="15">
        <v>171</v>
      </c>
      <c r="AE11" s="15">
        <v>171.1</v>
      </c>
      <c r="AF11" s="15">
        <v>173.4</v>
      </c>
      <c r="AG11" s="15">
        <v>175.6</v>
      </c>
    </row>
    <row r="12" spans="1:40" x14ac:dyDescent="0.25">
      <c r="A12" s="15" t="s">
        <v>11</v>
      </c>
      <c r="B12" s="15" t="s">
        <v>168</v>
      </c>
      <c r="C12" s="15" t="s">
        <v>35</v>
      </c>
      <c r="D12" s="18">
        <f t="shared" si="0"/>
        <v>0.49033068769209187</v>
      </c>
      <c r="E12" s="55" cm="1">
        <f t="array" ref="E12">AVERAGEIFS(sugar_confections,year,E$3,months,E$2,sector,$C$4)</f>
        <v>114.6</v>
      </c>
      <c r="F12" s="15">
        <v>112.8</v>
      </c>
      <c r="G12" s="15">
        <v>112.6</v>
      </c>
      <c r="H12" s="15">
        <v>113.1</v>
      </c>
      <c r="I12" s="15">
        <v>114.8</v>
      </c>
      <c r="J12" s="15">
        <v>115.1</v>
      </c>
      <c r="K12" s="15">
        <v>114.5</v>
      </c>
      <c r="L12" s="15">
        <v>119.7</v>
      </c>
      <c r="M12" s="15">
        <v>119.7</v>
      </c>
      <c r="N12" s="15">
        <v>121.9</v>
      </c>
      <c r="O12" s="15">
        <v>122.4</v>
      </c>
      <c r="P12" s="15">
        <v>121</v>
      </c>
      <c r="Q12" s="15">
        <v>120</v>
      </c>
      <c r="R12" s="15">
        <v>118.9</v>
      </c>
      <c r="S12" s="15">
        <v>118.8</v>
      </c>
      <c r="T12" s="15">
        <v>119</v>
      </c>
      <c r="U12" s="15">
        <v>119.7</v>
      </c>
      <c r="V12" s="15">
        <v>119.9</v>
      </c>
      <c r="W12" s="15">
        <v>120</v>
      </c>
      <c r="X12" s="15">
        <v>120.9</v>
      </c>
      <c r="Y12" s="15">
        <v>121.6</v>
      </c>
      <c r="Z12" s="15">
        <v>121.9</v>
      </c>
      <c r="AA12" s="15">
        <v>122.1</v>
      </c>
      <c r="AB12" s="15">
        <v>121.8</v>
      </c>
      <c r="AC12" s="15">
        <v>121.1</v>
      </c>
      <c r="AD12" s="15">
        <v>120</v>
      </c>
      <c r="AE12" s="15">
        <v>120</v>
      </c>
      <c r="AF12" s="15">
        <v>121.3</v>
      </c>
      <c r="AG12" s="15">
        <v>122.7</v>
      </c>
    </row>
    <row r="13" spans="1:40" x14ac:dyDescent="0.25">
      <c r="A13" s="15" t="s">
        <v>12</v>
      </c>
      <c r="B13" s="15" t="s">
        <v>168</v>
      </c>
      <c r="C13" s="15" t="s">
        <v>35</v>
      </c>
      <c r="D13" s="18">
        <f t="shared" si="0"/>
        <v>0.31636276379870121</v>
      </c>
      <c r="E13" s="55" cm="1">
        <f t="array" ref="E13">AVERAGEIFS(spices,year,E$3,months,E$2,sector,$C$4)</f>
        <v>164</v>
      </c>
      <c r="F13" s="15">
        <v>164.2</v>
      </c>
      <c r="G13" s="15">
        <v>163.5</v>
      </c>
      <c r="H13" s="15">
        <v>163.9</v>
      </c>
      <c r="I13" s="15">
        <v>168.2</v>
      </c>
      <c r="J13" s="15">
        <v>168.5</v>
      </c>
      <c r="K13" s="15">
        <v>168.3</v>
      </c>
      <c r="L13" s="15">
        <v>168.8</v>
      </c>
      <c r="M13" s="15">
        <v>168.8</v>
      </c>
      <c r="N13" s="15">
        <v>169.3</v>
      </c>
      <c r="O13" s="15">
        <v>169.6</v>
      </c>
      <c r="P13" s="15">
        <v>170.5</v>
      </c>
      <c r="Q13" s="15">
        <v>172.1</v>
      </c>
      <c r="R13" s="15">
        <v>174.3</v>
      </c>
      <c r="S13" s="15">
        <v>177.4</v>
      </c>
      <c r="T13" s="15">
        <v>181.3</v>
      </c>
      <c r="U13" s="15">
        <v>184.9</v>
      </c>
      <c r="V13" s="15">
        <v>187.1</v>
      </c>
      <c r="W13" s="15">
        <v>190</v>
      </c>
      <c r="X13" s="15">
        <v>193.6</v>
      </c>
      <c r="Y13" s="15">
        <v>197.3</v>
      </c>
      <c r="Z13" s="15">
        <v>199.9</v>
      </c>
      <c r="AA13" s="15">
        <v>202.8</v>
      </c>
      <c r="AB13" s="15">
        <v>205.2</v>
      </c>
      <c r="AC13" s="15">
        <v>208.4</v>
      </c>
      <c r="AD13" s="15">
        <v>209.7</v>
      </c>
      <c r="AE13" s="15">
        <v>209.7</v>
      </c>
      <c r="AF13" s="15">
        <v>212.9</v>
      </c>
      <c r="AG13" s="15">
        <v>218</v>
      </c>
    </row>
    <row r="14" spans="1:40" x14ac:dyDescent="0.25">
      <c r="A14" s="15" t="s">
        <v>13</v>
      </c>
      <c r="B14" s="15" t="s">
        <v>168</v>
      </c>
      <c r="C14" s="15" t="s">
        <v>35</v>
      </c>
      <c r="D14" s="18">
        <f t="shared" si="0"/>
        <v>0.5376149643271132</v>
      </c>
      <c r="E14" s="55" cm="1">
        <f t="array" ref="E14">AVERAGEIFS(non_alcoholic,year,E$3,months,E$2,sector,$C$4)</f>
        <v>151.80000000000001</v>
      </c>
      <c r="F14" s="15">
        <v>155.5</v>
      </c>
      <c r="G14" s="15">
        <v>156.5</v>
      </c>
      <c r="H14" s="15">
        <v>157.6</v>
      </c>
      <c r="I14" s="15">
        <v>159.30000000000001</v>
      </c>
      <c r="J14" s="15">
        <v>160</v>
      </c>
      <c r="K14" s="15">
        <v>160.9</v>
      </c>
      <c r="L14" s="15">
        <v>162.69999999999999</v>
      </c>
      <c r="M14" s="15">
        <v>162.69999999999999</v>
      </c>
      <c r="N14" s="15">
        <v>163.19999999999999</v>
      </c>
      <c r="O14" s="15">
        <v>163.69999999999999</v>
      </c>
      <c r="P14" s="15">
        <v>164.2</v>
      </c>
      <c r="Q14" s="15">
        <v>164.3</v>
      </c>
      <c r="R14" s="15">
        <v>164.7</v>
      </c>
      <c r="S14" s="15">
        <v>165.3</v>
      </c>
      <c r="T14" s="15">
        <v>166.2</v>
      </c>
      <c r="U14" s="15">
        <v>167.1</v>
      </c>
      <c r="V14" s="15">
        <v>167.9</v>
      </c>
      <c r="W14" s="15">
        <v>168.4</v>
      </c>
      <c r="X14" s="15">
        <v>168.8</v>
      </c>
      <c r="Y14" s="15">
        <v>169.4</v>
      </c>
      <c r="Z14" s="15">
        <v>169.9</v>
      </c>
      <c r="AA14" s="15">
        <v>170.4</v>
      </c>
      <c r="AB14" s="15">
        <v>171</v>
      </c>
      <c r="AC14" s="15">
        <v>171.4</v>
      </c>
      <c r="AD14" s="15">
        <v>172.3</v>
      </c>
      <c r="AE14" s="15">
        <v>172.3</v>
      </c>
      <c r="AF14" s="15">
        <v>172.9</v>
      </c>
      <c r="AG14" s="15">
        <v>173.4</v>
      </c>
    </row>
    <row r="15" spans="1:40" x14ac:dyDescent="0.25">
      <c r="A15" s="15" t="s">
        <v>14</v>
      </c>
      <c r="B15" s="15" t="s">
        <v>168</v>
      </c>
      <c r="C15" s="15" t="s">
        <v>35</v>
      </c>
      <c r="D15" s="18">
        <f t="shared" si="0"/>
        <v>0.46378250249137615</v>
      </c>
      <c r="E15" s="55" cm="1">
        <f t="array" ref="E15">AVERAGEIFS(pre_meal,year,E$3,months,E$2,sector,$C$4)</f>
        <v>165.6</v>
      </c>
      <c r="F15" s="15">
        <v>167.5</v>
      </c>
      <c r="G15" s="15">
        <v>168.2</v>
      </c>
      <c r="H15" s="15">
        <v>168.9</v>
      </c>
      <c r="I15" s="15">
        <v>170.4</v>
      </c>
      <c r="J15" s="15">
        <v>172.4</v>
      </c>
      <c r="K15" s="15">
        <v>172.2</v>
      </c>
      <c r="L15" s="15">
        <v>173.9</v>
      </c>
      <c r="M15" s="15">
        <v>173.9</v>
      </c>
      <c r="N15" s="15">
        <v>174.7</v>
      </c>
      <c r="O15" s="15">
        <v>175.5</v>
      </c>
      <c r="P15" s="15">
        <v>176.5</v>
      </c>
      <c r="Q15" s="15">
        <v>177.3</v>
      </c>
      <c r="R15" s="15">
        <v>178</v>
      </c>
      <c r="S15" s="15">
        <v>179.3</v>
      </c>
      <c r="T15" s="15">
        <v>180.9</v>
      </c>
      <c r="U15" s="15">
        <v>182.5</v>
      </c>
      <c r="V15" s="15">
        <v>183.9</v>
      </c>
      <c r="W15" s="15">
        <v>185.2</v>
      </c>
      <c r="X15" s="15">
        <v>186.3</v>
      </c>
      <c r="Y15" s="15">
        <v>187.4</v>
      </c>
      <c r="Z15" s="15">
        <v>188.3</v>
      </c>
      <c r="AA15" s="15">
        <v>189.5</v>
      </c>
      <c r="AB15" s="15">
        <v>190.3</v>
      </c>
      <c r="AC15" s="15">
        <v>191.2</v>
      </c>
      <c r="AD15" s="15">
        <v>193</v>
      </c>
      <c r="AE15" s="15">
        <v>193</v>
      </c>
      <c r="AF15" s="15">
        <v>193.5</v>
      </c>
      <c r="AG15" s="15">
        <v>194.2</v>
      </c>
    </row>
    <row r="16" spans="1:40" x14ac:dyDescent="0.25">
      <c r="A16" s="15" t="s">
        <v>15</v>
      </c>
      <c r="B16" s="15" t="s">
        <v>168</v>
      </c>
      <c r="C16" s="15" t="s">
        <v>35</v>
      </c>
      <c r="D16" s="18">
        <f t="shared" si="0"/>
        <v>0.55740571497700431</v>
      </c>
      <c r="E16" s="55" cm="1">
        <f t="array" ref="E16">AVERAGEIFS(Food_beverages,year,E$3,months,E$2,sector,$C$4)</f>
        <v>161</v>
      </c>
      <c r="F16" s="15">
        <v>156.9</v>
      </c>
      <c r="G16" s="15">
        <v>156.69999999999999</v>
      </c>
      <c r="H16" s="15">
        <v>158</v>
      </c>
      <c r="I16" s="15">
        <v>160.69999999999999</v>
      </c>
      <c r="J16" s="15">
        <v>162.6</v>
      </c>
      <c r="K16" s="15">
        <v>164</v>
      </c>
      <c r="L16" s="15">
        <v>164</v>
      </c>
      <c r="M16" s="15">
        <v>164</v>
      </c>
      <c r="N16" s="15">
        <v>167.7</v>
      </c>
      <c r="O16" s="15">
        <v>169.7</v>
      </c>
      <c r="P16" s="15">
        <v>168.2</v>
      </c>
      <c r="Q16" s="15">
        <v>166.4</v>
      </c>
      <c r="R16" s="15">
        <v>166.2</v>
      </c>
      <c r="S16" s="15">
        <v>168.4</v>
      </c>
      <c r="T16" s="15">
        <v>170.8</v>
      </c>
      <c r="U16" s="15">
        <v>173.3</v>
      </c>
      <c r="V16" s="15">
        <v>174.9</v>
      </c>
      <c r="W16" s="15">
        <v>175</v>
      </c>
      <c r="X16" s="15">
        <v>176.3</v>
      </c>
      <c r="Y16" s="15">
        <v>177.8</v>
      </c>
      <c r="Z16" s="15">
        <v>179.6</v>
      </c>
      <c r="AA16" s="15">
        <v>178.3</v>
      </c>
      <c r="AB16" s="15">
        <v>175.9</v>
      </c>
      <c r="AC16" s="15">
        <v>176.7</v>
      </c>
      <c r="AD16" s="15">
        <v>177</v>
      </c>
      <c r="AE16" s="15">
        <v>177</v>
      </c>
      <c r="AF16" s="15">
        <v>177.9</v>
      </c>
      <c r="AG16" s="15">
        <v>179.1</v>
      </c>
    </row>
    <row r="17" spans="1:33" x14ac:dyDescent="0.25">
      <c r="A17" s="15" t="s">
        <v>16</v>
      </c>
      <c r="B17" s="15" t="s">
        <v>28</v>
      </c>
      <c r="C17" s="15" t="s">
        <v>35</v>
      </c>
      <c r="D17" s="18">
        <f t="shared" si="0"/>
        <v>0.38037650321686106</v>
      </c>
      <c r="E17" s="55" cm="1">
        <f t="array" ref="E17">AVERAGEIFS(pan_tabacco,year,E$3,months,E$2,sector,$C$4)</f>
        <v>186.5</v>
      </c>
      <c r="F17" s="15">
        <v>188.3</v>
      </c>
      <c r="G17" s="15">
        <v>188.1</v>
      </c>
      <c r="H17" s="15">
        <v>188.8</v>
      </c>
      <c r="I17" s="15">
        <v>191.9</v>
      </c>
      <c r="J17" s="15">
        <v>190.8</v>
      </c>
      <c r="K17" s="15">
        <v>191.2</v>
      </c>
      <c r="L17" s="15">
        <v>192.1</v>
      </c>
      <c r="M17" s="15">
        <v>192.1</v>
      </c>
      <c r="N17" s="15">
        <v>192.7</v>
      </c>
      <c r="O17" s="15">
        <v>192.9</v>
      </c>
      <c r="P17" s="15">
        <v>192.4</v>
      </c>
      <c r="Q17" s="15">
        <v>192.2</v>
      </c>
      <c r="R17" s="15">
        <v>192.8</v>
      </c>
      <c r="S17" s="15">
        <v>193.7</v>
      </c>
      <c r="T17" s="15">
        <v>193.9</v>
      </c>
      <c r="U17" s="15">
        <v>194.1</v>
      </c>
      <c r="V17" s="15">
        <v>194.3</v>
      </c>
      <c r="W17" s="15">
        <v>194.6</v>
      </c>
      <c r="X17" s="15">
        <v>195</v>
      </c>
      <c r="Y17" s="15">
        <v>195.9</v>
      </c>
      <c r="Z17" s="15">
        <v>196.3</v>
      </c>
      <c r="AA17" s="15">
        <v>196.9</v>
      </c>
      <c r="AB17" s="15">
        <v>197.3</v>
      </c>
      <c r="AC17" s="15">
        <v>198.2</v>
      </c>
      <c r="AD17" s="15">
        <v>199.5</v>
      </c>
      <c r="AE17" s="15">
        <v>199.5</v>
      </c>
      <c r="AF17" s="15">
        <v>200.6</v>
      </c>
      <c r="AG17" s="15">
        <v>201</v>
      </c>
    </row>
    <row r="18" spans="1:33" x14ac:dyDescent="0.25">
      <c r="A18" s="15" t="s">
        <v>17</v>
      </c>
      <c r="B18" s="15" t="s">
        <v>19</v>
      </c>
      <c r="C18" s="15" t="s">
        <v>35</v>
      </c>
      <c r="D18" s="18">
        <f t="shared" si="0"/>
        <v>0.50041216920100839</v>
      </c>
      <c r="E18" s="55" cm="1">
        <f t="array" ref="E18">AVERAGEIFS(clothings,year,E$3,months,E$2,sector,$C$4)</f>
        <v>155.5</v>
      </c>
      <c r="F18" s="15">
        <v>157.19999999999999</v>
      </c>
      <c r="G18" s="15">
        <v>157.80000000000001</v>
      </c>
      <c r="H18" s="15">
        <v>158.80000000000001</v>
      </c>
      <c r="I18" s="15">
        <v>161.80000000000001</v>
      </c>
      <c r="J18" s="15">
        <v>162.19999999999999</v>
      </c>
      <c r="K18" s="15">
        <v>162.80000000000001</v>
      </c>
      <c r="L18" s="15">
        <v>164.5</v>
      </c>
      <c r="M18" s="15">
        <v>164.6</v>
      </c>
      <c r="N18" s="15">
        <v>165.7</v>
      </c>
      <c r="O18" s="15">
        <v>167.2</v>
      </c>
      <c r="P18" s="15">
        <v>168.5</v>
      </c>
      <c r="Q18" s="15">
        <v>169.9</v>
      </c>
      <c r="R18" s="15">
        <v>170.8</v>
      </c>
      <c r="S18" s="15">
        <v>172.1</v>
      </c>
      <c r="T18" s="15">
        <v>173.9</v>
      </c>
      <c r="U18" s="15">
        <v>175.6</v>
      </c>
      <c r="V18" s="15">
        <v>177.1</v>
      </c>
      <c r="W18" s="15">
        <v>178.3</v>
      </c>
      <c r="X18" s="15">
        <v>179.5</v>
      </c>
      <c r="Y18" s="15">
        <v>180.9</v>
      </c>
      <c r="Z18" s="15">
        <v>181.9</v>
      </c>
      <c r="AA18" s="15">
        <v>183.1</v>
      </c>
      <c r="AB18" s="15">
        <v>184</v>
      </c>
      <c r="AC18" s="15">
        <v>184.9</v>
      </c>
      <c r="AD18" s="15">
        <v>186.2</v>
      </c>
      <c r="AE18" s="15">
        <v>186.1</v>
      </c>
      <c r="AF18" s="15">
        <v>186.9</v>
      </c>
      <c r="AG18" s="15">
        <v>187.3</v>
      </c>
    </row>
    <row r="19" spans="1:33" x14ac:dyDescent="0.25">
      <c r="A19" s="15" t="s">
        <v>18</v>
      </c>
      <c r="B19" s="15" t="s">
        <v>19</v>
      </c>
      <c r="C19" s="15" t="s">
        <v>35</v>
      </c>
      <c r="D19" s="18">
        <f t="shared" si="0"/>
        <v>0.52790611249485053</v>
      </c>
      <c r="E19" s="55" cm="1">
        <f t="array" ref="E19">AVERAGEIFS(Footware,year,E$3,months,E$2,sector,$C$4)</f>
        <v>146.1</v>
      </c>
      <c r="F19" s="15">
        <v>147.4</v>
      </c>
      <c r="G19" s="15">
        <v>147.9</v>
      </c>
      <c r="H19" s="15">
        <v>148.5</v>
      </c>
      <c r="I19" s="15">
        <v>152.1</v>
      </c>
      <c r="J19" s="15">
        <v>151.80000000000001</v>
      </c>
      <c r="K19" s="15">
        <v>153.1</v>
      </c>
      <c r="L19" s="15">
        <v>155.30000000000001</v>
      </c>
      <c r="M19" s="15">
        <v>155.30000000000001</v>
      </c>
      <c r="N19" s="15">
        <v>156.30000000000001</v>
      </c>
      <c r="O19" s="15">
        <v>157.4</v>
      </c>
      <c r="P19" s="15">
        <v>158.69999999999999</v>
      </c>
      <c r="Q19" s="15">
        <v>160.69999999999999</v>
      </c>
      <c r="R19" s="15">
        <v>162.4</v>
      </c>
      <c r="S19" s="15">
        <v>164.6</v>
      </c>
      <c r="T19" s="15">
        <v>166.5</v>
      </c>
      <c r="U19" s="15">
        <v>168.4</v>
      </c>
      <c r="V19" s="15">
        <v>169.9</v>
      </c>
      <c r="W19" s="15">
        <v>171.3</v>
      </c>
      <c r="X19" s="15">
        <v>172.7</v>
      </c>
      <c r="Y19" s="15">
        <v>174.3</v>
      </c>
      <c r="Z19" s="15">
        <v>175.3</v>
      </c>
      <c r="AA19" s="15">
        <v>176.2</v>
      </c>
      <c r="AB19" s="15">
        <v>177</v>
      </c>
      <c r="AC19" s="15">
        <v>177.6</v>
      </c>
      <c r="AD19" s="15">
        <v>178.7</v>
      </c>
      <c r="AE19" s="15">
        <v>178.7</v>
      </c>
      <c r="AF19" s="15">
        <v>179.2</v>
      </c>
      <c r="AG19" s="15">
        <v>179.7</v>
      </c>
    </row>
    <row r="20" spans="1:33" x14ac:dyDescent="0.25">
      <c r="A20" s="15" t="s">
        <v>19</v>
      </c>
      <c r="B20" s="15" t="s">
        <v>19</v>
      </c>
      <c r="C20" s="15" t="s">
        <v>35</v>
      </c>
      <c r="D20" s="18">
        <f t="shared" si="0"/>
        <v>0.50494817493011845</v>
      </c>
      <c r="E20" s="55" cm="1">
        <f t="array" ref="E20">AVERAGEIFS(clothing_foot,year,E$3,months,E$2,sector,$C$4)</f>
        <v>154.19999999999999</v>
      </c>
      <c r="F20" s="15">
        <v>155.80000000000001</v>
      </c>
      <c r="G20" s="15">
        <v>156.4</v>
      </c>
      <c r="H20" s="15">
        <v>157.30000000000001</v>
      </c>
      <c r="I20" s="15">
        <v>160.4</v>
      </c>
      <c r="J20" s="15">
        <v>160.69999999999999</v>
      </c>
      <c r="K20" s="15">
        <v>161.4</v>
      </c>
      <c r="L20" s="15">
        <v>163.19999999999999</v>
      </c>
      <c r="M20" s="15">
        <v>163.30000000000001</v>
      </c>
      <c r="N20" s="15">
        <v>164.3</v>
      </c>
      <c r="O20" s="15">
        <v>165.8</v>
      </c>
      <c r="P20" s="15">
        <v>167</v>
      </c>
      <c r="Q20" s="15">
        <v>168.5</v>
      </c>
      <c r="R20" s="15">
        <v>169.6</v>
      </c>
      <c r="S20" s="15">
        <v>171.1</v>
      </c>
      <c r="T20" s="15">
        <v>172.8</v>
      </c>
      <c r="U20" s="15">
        <v>174.6</v>
      </c>
      <c r="V20" s="15">
        <v>176</v>
      </c>
      <c r="W20" s="15">
        <v>177.3</v>
      </c>
      <c r="X20" s="15">
        <v>178.5</v>
      </c>
      <c r="Y20" s="15">
        <v>179.9</v>
      </c>
      <c r="Z20" s="15">
        <v>181</v>
      </c>
      <c r="AA20" s="15">
        <v>182.1</v>
      </c>
      <c r="AB20" s="15">
        <v>183</v>
      </c>
      <c r="AC20" s="15">
        <v>183.8</v>
      </c>
      <c r="AD20" s="15">
        <v>185.1</v>
      </c>
      <c r="AE20" s="15">
        <v>185.1</v>
      </c>
      <c r="AF20" s="15">
        <v>185.7</v>
      </c>
      <c r="AG20" s="15">
        <v>186.2</v>
      </c>
    </row>
    <row r="21" spans="1:33" x14ac:dyDescent="0.25">
      <c r="A21" s="15" t="s">
        <v>21</v>
      </c>
      <c r="B21" s="15" t="s">
        <v>169</v>
      </c>
      <c r="C21" s="15" t="s">
        <v>35</v>
      </c>
      <c r="D21" s="18">
        <f t="shared" si="0"/>
        <v>0.55324849681177324</v>
      </c>
      <c r="E21" s="55" cm="1">
        <f t="array" ref="E21">AVERAGEIFS(Fuel_lights,year,E$3,months,E$2,sector,$C$4)</f>
        <v>147.9</v>
      </c>
      <c r="F21" s="15">
        <v>152.4</v>
      </c>
      <c r="G21" s="15">
        <v>155.5</v>
      </c>
      <c r="H21" s="15">
        <v>155.6</v>
      </c>
      <c r="I21" s="15">
        <v>159.4</v>
      </c>
      <c r="J21" s="15">
        <v>159.80000000000001</v>
      </c>
      <c r="K21" s="15">
        <v>160.69999999999999</v>
      </c>
      <c r="L21" s="15">
        <v>162.6</v>
      </c>
      <c r="M21" s="15">
        <v>162.6</v>
      </c>
      <c r="N21" s="15">
        <v>164.2</v>
      </c>
      <c r="O21" s="15">
        <v>163.9</v>
      </c>
      <c r="P21" s="15">
        <v>164.1</v>
      </c>
      <c r="Q21" s="15">
        <v>164.2</v>
      </c>
      <c r="R21" s="15">
        <v>165.7</v>
      </c>
      <c r="S21" s="15">
        <v>167.2</v>
      </c>
      <c r="T21" s="15">
        <v>172.2</v>
      </c>
      <c r="U21" s="15">
        <v>174.6</v>
      </c>
      <c r="V21" s="15">
        <v>176</v>
      </c>
      <c r="W21" s="15">
        <v>179.6</v>
      </c>
      <c r="X21" s="15">
        <v>178.8</v>
      </c>
      <c r="Y21" s="15">
        <v>179.5</v>
      </c>
      <c r="Z21" s="15">
        <v>180.5</v>
      </c>
      <c r="AA21" s="15">
        <v>181.3</v>
      </c>
      <c r="AB21" s="15">
        <v>182</v>
      </c>
      <c r="AC21" s="15">
        <v>182</v>
      </c>
      <c r="AD21" s="15">
        <v>182.1</v>
      </c>
      <c r="AE21" s="15">
        <v>181.9</v>
      </c>
      <c r="AF21" s="15">
        <v>181.7</v>
      </c>
      <c r="AG21" s="15">
        <v>182.8</v>
      </c>
    </row>
    <row r="22" spans="1:33" x14ac:dyDescent="0.25">
      <c r="A22" s="15" t="s">
        <v>22</v>
      </c>
      <c r="B22" s="15" t="s">
        <v>169</v>
      </c>
      <c r="C22" s="15" t="s">
        <v>35</v>
      </c>
      <c r="D22" s="18">
        <f t="shared" si="0"/>
        <v>0.48655902419777697</v>
      </c>
      <c r="E22" s="55" cm="1">
        <f t="array" ref="E22">AVERAGEIFS(house_goods_servies,year,E$3,months,E$2,sector,$C$4)</f>
        <v>150</v>
      </c>
      <c r="F22" s="15">
        <v>150.9</v>
      </c>
      <c r="G22" s="15">
        <v>151.19999999999999</v>
      </c>
      <c r="H22" s="15">
        <v>151.80000000000001</v>
      </c>
      <c r="I22" s="15">
        <v>154.69999999999999</v>
      </c>
      <c r="J22" s="15">
        <v>154.80000000000001</v>
      </c>
      <c r="K22" s="15">
        <v>155.80000000000001</v>
      </c>
      <c r="L22" s="15">
        <v>157.5</v>
      </c>
      <c r="M22" s="15">
        <v>157.5</v>
      </c>
      <c r="N22" s="15">
        <v>158.4</v>
      </c>
      <c r="O22" s="15">
        <v>159.30000000000001</v>
      </c>
      <c r="P22" s="15">
        <v>160.19999999999999</v>
      </c>
      <c r="Q22" s="15">
        <v>161.1</v>
      </c>
      <c r="R22" s="15">
        <v>161.80000000000001</v>
      </c>
      <c r="S22" s="15">
        <v>162.80000000000001</v>
      </c>
      <c r="T22" s="15">
        <v>164</v>
      </c>
      <c r="U22" s="15">
        <v>165.2</v>
      </c>
      <c r="V22" s="15">
        <v>166.4</v>
      </c>
      <c r="W22" s="15">
        <v>167.4</v>
      </c>
      <c r="X22" s="15">
        <v>168.5</v>
      </c>
      <c r="Y22" s="15">
        <v>169.5</v>
      </c>
      <c r="Z22" s="15">
        <v>170.4</v>
      </c>
      <c r="AA22" s="15">
        <v>171.4</v>
      </c>
      <c r="AB22" s="15">
        <v>172.1</v>
      </c>
      <c r="AC22" s="15">
        <v>172.9</v>
      </c>
      <c r="AD22" s="15">
        <v>174.2</v>
      </c>
      <c r="AE22" s="15">
        <v>174.2</v>
      </c>
      <c r="AF22" s="15">
        <v>174.6</v>
      </c>
      <c r="AG22" s="15">
        <v>175.2</v>
      </c>
    </row>
    <row r="23" spans="1:33" x14ac:dyDescent="0.25">
      <c r="A23" s="15" t="s">
        <v>23</v>
      </c>
      <c r="B23" s="15" t="s">
        <v>23</v>
      </c>
      <c r="C23" s="15" t="s">
        <v>35</v>
      </c>
      <c r="D23" s="18">
        <f t="shared" si="0"/>
        <v>0.45767479479283024</v>
      </c>
      <c r="E23" s="55" cm="1">
        <f t="array" ref="E23">AVERAGEIFS(health,year,E$3,months,E$2,sector,$C$4)</f>
        <v>159.30000000000001</v>
      </c>
      <c r="F23" s="15">
        <v>161.30000000000001</v>
      </c>
      <c r="G23" s="15">
        <v>161.69999999999999</v>
      </c>
      <c r="H23" s="15">
        <v>162.30000000000001</v>
      </c>
      <c r="I23" s="15">
        <v>165.8</v>
      </c>
      <c r="J23" s="15">
        <v>166.3</v>
      </c>
      <c r="K23" s="15">
        <v>167</v>
      </c>
      <c r="L23" s="15">
        <v>168.4</v>
      </c>
      <c r="M23" s="15">
        <v>168.4</v>
      </c>
      <c r="N23" s="15">
        <v>169.1</v>
      </c>
      <c r="O23" s="15">
        <v>169.9</v>
      </c>
      <c r="P23" s="15">
        <v>170.6</v>
      </c>
      <c r="Q23" s="15">
        <v>171.4</v>
      </c>
      <c r="R23" s="15">
        <v>172.2</v>
      </c>
      <c r="S23" s="15">
        <v>173</v>
      </c>
      <c r="T23" s="15">
        <v>174</v>
      </c>
      <c r="U23" s="15">
        <v>174.8</v>
      </c>
      <c r="V23" s="15">
        <v>175.4</v>
      </c>
      <c r="W23" s="15">
        <v>176.1</v>
      </c>
      <c r="X23" s="15">
        <v>176.8</v>
      </c>
      <c r="Y23" s="15">
        <v>177.8</v>
      </c>
      <c r="Z23" s="15">
        <v>178.7</v>
      </c>
      <c r="AA23" s="15">
        <v>179.8</v>
      </c>
      <c r="AB23" s="15">
        <v>181.1</v>
      </c>
      <c r="AC23" s="15">
        <v>182.3</v>
      </c>
      <c r="AD23" s="15">
        <v>184.4</v>
      </c>
      <c r="AE23" s="15">
        <v>184.4</v>
      </c>
      <c r="AF23" s="15">
        <v>185</v>
      </c>
      <c r="AG23" s="15">
        <v>185.7</v>
      </c>
    </row>
    <row r="24" spans="1:33" x14ac:dyDescent="0.25">
      <c r="A24" s="15" t="s">
        <v>24</v>
      </c>
      <c r="B24" s="15" t="s">
        <v>24</v>
      </c>
      <c r="C24" s="15" t="s">
        <v>35</v>
      </c>
      <c r="D24" s="18">
        <f t="shared" si="0"/>
        <v>0.65401313275309236</v>
      </c>
      <c r="E24" s="55" cm="1">
        <f t="array" ref="E24">AVERAGEIFS(trans_comu,year,E$3,months,E$2,sector,$C$4)</f>
        <v>141.9</v>
      </c>
      <c r="F24" s="15">
        <v>145.1</v>
      </c>
      <c r="G24" s="15">
        <v>146.19999999999999</v>
      </c>
      <c r="H24" s="15">
        <v>146.6</v>
      </c>
      <c r="I24" s="15">
        <v>148.9</v>
      </c>
      <c r="J24" s="15">
        <v>150.69999999999999</v>
      </c>
      <c r="K24" s="15">
        <v>153.1</v>
      </c>
      <c r="L24" s="15">
        <v>154</v>
      </c>
      <c r="M24" s="15">
        <v>154</v>
      </c>
      <c r="N24" s="15">
        <v>155.69999999999999</v>
      </c>
      <c r="O24" s="15">
        <v>154.80000000000001</v>
      </c>
      <c r="P24" s="15">
        <v>155.69999999999999</v>
      </c>
      <c r="Q24" s="15">
        <v>156.5</v>
      </c>
      <c r="R24" s="15">
        <v>156.9</v>
      </c>
      <c r="S24" s="15">
        <v>157.9</v>
      </c>
      <c r="T24" s="15">
        <v>162.6</v>
      </c>
      <c r="U24" s="15">
        <v>163</v>
      </c>
      <c r="V24" s="15">
        <v>161.1</v>
      </c>
      <c r="W24" s="15">
        <v>161.6</v>
      </c>
      <c r="X24" s="15">
        <v>161.9</v>
      </c>
      <c r="Y24" s="15">
        <v>162.30000000000001</v>
      </c>
      <c r="Z24" s="15">
        <v>162.9</v>
      </c>
      <c r="AA24" s="15">
        <v>163</v>
      </c>
      <c r="AB24" s="15">
        <v>163.4</v>
      </c>
      <c r="AC24" s="15">
        <v>163.6</v>
      </c>
      <c r="AD24" s="15">
        <v>164.2</v>
      </c>
      <c r="AE24" s="15">
        <v>164.2</v>
      </c>
      <c r="AF24" s="15">
        <v>164.5</v>
      </c>
      <c r="AG24" s="15">
        <v>164.8</v>
      </c>
    </row>
    <row r="25" spans="1:33" x14ac:dyDescent="0.25">
      <c r="A25" s="15" t="s">
        <v>25</v>
      </c>
      <c r="B25" s="15" t="s">
        <v>170</v>
      </c>
      <c r="C25" s="15" t="s">
        <v>35</v>
      </c>
      <c r="D25" s="18">
        <f t="shared" si="0"/>
        <v>0.57146862041518032</v>
      </c>
      <c r="E25" s="55" cm="1">
        <f t="array" ref="E25">AVERAGEIFS(recreation_amusement,year,E$3,months,E$2,sector,$C$4)</f>
        <v>149.6</v>
      </c>
      <c r="F25" s="15">
        <v>151.5</v>
      </c>
      <c r="G25" s="15">
        <v>152.6</v>
      </c>
      <c r="H25" s="15">
        <v>153.19999999999999</v>
      </c>
      <c r="I25" s="15">
        <v>155.80000000000001</v>
      </c>
      <c r="J25" s="15">
        <v>154.9</v>
      </c>
      <c r="K25" s="15">
        <v>155.30000000000001</v>
      </c>
      <c r="L25" s="15">
        <v>157.6</v>
      </c>
      <c r="M25" s="15">
        <v>157.69999999999999</v>
      </c>
      <c r="N25" s="15">
        <v>158.6</v>
      </c>
      <c r="O25" s="15">
        <v>159.80000000000001</v>
      </c>
      <c r="P25" s="15">
        <v>160.6</v>
      </c>
      <c r="Q25" s="15">
        <v>161.19999999999999</v>
      </c>
      <c r="R25" s="15">
        <v>162.1</v>
      </c>
      <c r="S25" s="15">
        <v>163.30000000000001</v>
      </c>
      <c r="T25" s="15">
        <v>164.4</v>
      </c>
      <c r="U25" s="15">
        <v>165.1</v>
      </c>
      <c r="V25" s="15">
        <v>165.8</v>
      </c>
      <c r="W25" s="15">
        <v>166.3</v>
      </c>
      <c r="X25" s="15">
        <v>166.9</v>
      </c>
      <c r="Y25" s="15">
        <v>167.6</v>
      </c>
      <c r="Z25" s="15">
        <v>168.2</v>
      </c>
      <c r="AA25" s="15">
        <v>168.5</v>
      </c>
      <c r="AB25" s="15">
        <v>168.9</v>
      </c>
      <c r="AC25" s="15">
        <v>169.5</v>
      </c>
      <c r="AD25" s="15">
        <v>170.3</v>
      </c>
      <c r="AE25" s="15">
        <v>170.3</v>
      </c>
      <c r="AF25" s="15">
        <v>170.7</v>
      </c>
      <c r="AG25" s="15">
        <v>171.2</v>
      </c>
    </row>
    <row r="26" spans="1:33" x14ac:dyDescent="0.25">
      <c r="A26" s="15" t="s">
        <v>26</v>
      </c>
      <c r="B26" s="15" t="s">
        <v>170</v>
      </c>
      <c r="C26" s="15" t="s">
        <v>35</v>
      </c>
      <c r="D26" s="18">
        <f t="shared" si="0"/>
        <v>0.41663134903709814</v>
      </c>
      <c r="E26" s="55" cm="1">
        <f t="array" ref="E26">AVERAGEIFS(education,year,E$3,months,E$2,sector,$C$4)</f>
        <v>159.19999999999999</v>
      </c>
      <c r="F26" s="15">
        <v>159.5</v>
      </c>
      <c r="G26" s="15">
        <v>160.19999999999999</v>
      </c>
      <c r="H26" s="15">
        <v>160.30000000000001</v>
      </c>
      <c r="I26" s="15">
        <v>161.19999999999999</v>
      </c>
      <c r="J26" s="15">
        <v>161.69999999999999</v>
      </c>
      <c r="K26" s="15">
        <v>163.19999999999999</v>
      </c>
      <c r="L26" s="15">
        <v>163.80000000000001</v>
      </c>
      <c r="M26" s="15">
        <v>163.69999999999999</v>
      </c>
      <c r="N26" s="15">
        <v>163.9</v>
      </c>
      <c r="O26" s="15">
        <v>164.3</v>
      </c>
      <c r="P26" s="15">
        <v>164.4</v>
      </c>
      <c r="Q26" s="15">
        <v>164.7</v>
      </c>
      <c r="R26" s="15">
        <v>165.4</v>
      </c>
      <c r="S26" s="15">
        <v>166</v>
      </c>
      <c r="T26" s="15">
        <v>166.9</v>
      </c>
      <c r="U26" s="15">
        <v>167.9</v>
      </c>
      <c r="V26" s="15">
        <v>169</v>
      </c>
      <c r="W26" s="15">
        <v>171.4</v>
      </c>
      <c r="X26" s="15">
        <v>172.3</v>
      </c>
      <c r="Y26" s="15">
        <v>173.1</v>
      </c>
      <c r="Z26" s="15">
        <v>173.4</v>
      </c>
      <c r="AA26" s="15">
        <v>173.7</v>
      </c>
      <c r="AB26" s="15">
        <v>174.1</v>
      </c>
      <c r="AC26" s="15">
        <v>174.3</v>
      </c>
      <c r="AD26" s="15">
        <v>175</v>
      </c>
      <c r="AE26" s="15">
        <v>175</v>
      </c>
      <c r="AF26" s="15">
        <v>176.4</v>
      </c>
      <c r="AG26" s="15">
        <v>177.1</v>
      </c>
    </row>
    <row r="27" spans="1:33" x14ac:dyDescent="0.25">
      <c r="A27" s="15" t="s">
        <v>27</v>
      </c>
      <c r="B27" s="15" t="s">
        <v>23</v>
      </c>
      <c r="C27" s="15" t="s">
        <v>35</v>
      </c>
      <c r="D27" s="18">
        <f t="shared" si="0"/>
        <v>0.37859224249932882</v>
      </c>
      <c r="E27" s="55" cm="1">
        <f t="array" ref="E27">AVERAGEIFS(persinal_care_effects,year,E$3,months,E$2,sector,$C$4)</f>
        <v>156.80000000000001</v>
      </c>
      <c r="F27" s="15">
        <v>155.80000000000001</v>
      </c>
      <c r="G27" s="15">
        <v>153.80000000000001</v>
      </c>
      <c r="H27" s="15">
        <v>155.4</v>
      </c>
      <c r="I27" s="15">
        <v>158.6</v>
      </c>
      <c r="J27" s="15">
        <v>158.80000000000001</v>
      </c>
      <c r="K27" s="15">
        <v>160.1</v>
      </c>
      <c r="L27" s="15">
        <v>160</v>
      </c>
      <c r="M27" s="15">
        <v>160</v>
      </c>
      <c r="N27" s="15">
        <v>160.80000000000001</v>
      </c>
      <c r="O27" s="15">
        <v>162.19999999999999</v>
      </c>
      <c r="P27" s="15">
        <v>162.6</v>
      </c>
      <c r="Q27" s="15">
        <v>163</v>
      </c>
      <c r="R27" s="15">
        <v>164.4</v>
      </c>
      <c r="S27" s="15">
        <v>167.2</v>
      </c>
      <c r="T27" s="15">
        <v>168.8</v>
      </c>
      <c r="U27" s="15">
        <v>168.4</v>
      </c>
      <c r="V27" s="15">
        <v>169.4</v>
      </c>
      <c r="W27" s="15">
        <v>169.7</v>
      </c>
      <c r="X27" s="15">
        <v>171.2</v>
      </c>
      <c r="Y27" s="15">
        <v>170.9</v>
      </c>
      <c r="Z27" s="15">
        <v>172.1</v>
      </c>
      <c r="AA27" s="15">
        <v>173.6</v>
      </c>
      <c r="AB27" s="15">
        <v>175.8</v>
      </c>
      <c r="AC27" s="15">
        <v>178.6</v>
      </c>
      <c r="AD27" s="15">
        <v>181</v>
      </c>
      <c r="AE27" s="15">
        <v>181</v>
      </c>
      <c r="AF27" s="15">
        <v>184</v>
      </c>
      <c r="AG27" s="15">
        <v>185.2</v>
      </c>
    </row>
    <row r="28" spans="1:33" x14ac:dyDescent="0.25">
      <c r="A28" s="15" t="s">
        <v>28</v>
      </c>
      <c r="B28" s="15" t="s">
        <v>28</v>
      </c>
      <c r="C28" s="15" t="s">
        <v>35</v>
      </c>
      <c r="D28" s="18">
        <f t="shared" si="0"/>
        <v>0.5158793124367983</v>
      </c>
      <c r="E28" s="55" cm="1">
        <f t="array" ref="E28">AVERAGEIFS(miscellaneous,year,E$3,months,E$2,sector,$C$4)</f>
        <v>151.9</v>
      </c>
      <c r="F28" s="15">
        <v>153.4</v>
      </c>
      <c r="G28" s="15">
        <v>153.80000000000001</v>
      </c>
      <c r="H28" s="15">
        <v>154.4</v>
      </c>
      <c r="I28" s="15">
        <v>156.80000000000001</v>
      </c>
      <c r="J28" s="15">
        <v>157.6</v>
      </c>
      <c r="K28" s="15">
        <v>159</v>
      </c>
      <c r="L28" s="15">
        <v>160</v>
      </c>
      <c r="M28" s="15">
        <v>160</v>
      </c>
      <c r="N28" s="15">
        <v>161</v>
      </c>
      <c r="O28" s="15">
        <v>161.4</v>
      </c>
      <c r="P28" s="15">
        <v>162</v>
      </c>
      <c r="Q28" s="15">
        <v>162.69999999999999</v>
      </c>
      <c r="R28" s="15">
        <v>163.5</v>
      </c>
      <c r="S28" s="15">
        <v>164.6</v>
      </c>
      <c r="T28" s="15">
        <v>166.8</v>
      </c>
      <c r="U28" s="15">
        <v>167.5</v>
      </c>
      <c r="V28" s="15">
        <v>167.5</v>
      </c>
      <c r="W28" s="15">
        <v>168.4</v>
      </c>
      <c r="X28" s="15">
        <v>169.1</v>
      </c>
      <c r="Y28" s="15">
        <v>169.7</v>
      </c>
      <c r="Z28" s="15">
        <v>170.5</v>
      </c>
      <c r="AA28" s="15">
        <v>171.1</v>
      </c>
      <c r="AB28" s="15">
        <v>172</v>
      </c>
      <c r="AC28" s="15">
        <v>172.8</v>
      </c>
      <c r="AD28" s="15">
        <v>174.1</v>
      </c>
      <c r="AE28" s="15">
        <v>174.1</v>
      </c>
      <c r="AF28" s="15">
        <v>175</v>
      </c>
      <c r="AG28" s="15">
        <v>175.7</v>
      </c>
    </row>
    <row r="29" spans="1:33" x14ac:dyDescent="0.25">
      <c r="A29" s="15" t="s">
        <v>29</v>
      </c>
      <c r="B29" s="15" t="s">
        <v>29</v>
      </c>
      <c r="C29" s="15" t="s">
        <v>35</v>
      </c>
      <c r="D29" s="18">
        <f t="shared" si="0"/>
        <v>0.53472818352075469</v>
      </c>
      <c r="E29" s="55" cm="1">
        <f t="array" ref="E29">AVERAGEIFS(General_index,year,E$3,months,E$2,sector,$C$4)</f>
        <v>157.30000000000001</v>
      </c>
      <c r="F29" s="15">
        <v>156.6</v>
      </c>
      <c r="G29" s="15">
        <v>156.80000000000001</v>
      </c>
      <c r="H29" s="15">
        <v>157.80000000000001</v>
      </c>
      <c r="I29" s="15">
        <v>160.4</v>
      </c>
      <c r="J29" s="15">
        <v>161.30000000000001</v>
      </c>
      <c r="K29" s="15">
        <v>162.5</v>
      </c>
      <c r="L29" s="15">
        <v>163.19999999999999</v>
      </c>
      <c r="M29" s="15">
        <v>163.19999999999999</v>
      </c>
      <c r="N29" s="15">
        <v>165.5</v>
      </c>
      <c r="O29" s="15">
        <v>166.7</v>
      </c>
      <c r="P29" s="15">
        <v>166.2</v>
      </c>
      <c r="Q29" s="15">
        <v>165.7</v>
      </c>
      <c r="R29" s="15">
        <v>166.1</v>
      </c>
      <c r="S29" s="15">
        <v>167.7</v>
      </c>
      <c r="T29" s="15">
        <v>170.1</v>
      </c>
      <c r="U29" s="15">
        <v>171.7</v>
      </c>
      <c r="V29" s="15">
        <v>172.6</v>
      </c>
      <c r="W29" s="15">
        <v>173.4</v>
      </c>
      <c r="X29" s="15">
        <v>174.3</v>
      </c>
      <c r="Y29" s="15">
        <v>175.3</v>
      </c>
      <c r="Z29" s="15">
        <v>176.7</v>
      </c>
      <c r="AA29" s="15">
        <v>176.5</v>
      </c>
      <c r="AB29" s="15">
        <v>175.7</v>
      </c>
      <c r="AC29" s="15">
        <v>176.5</v>
      </c>
      <c r="AD29" s="15">
        <v>177.2</v>
      </c>
      <c r="AE29" s="15">
        <v>177.2</v>
      </c>
      <c r="AF29" s="15">
        <v>178.1</v>
      </c>
      <c r="AG29" s="15">
        <v>179.1</v>
      </c>
    </row>
    <row r="30" spans="1:33" x14ac:dyDescent="0.25">
      <c r="E30" s="11"/>
    </row>
    <row r="31" spans="1:33" x14ac:dyDescent="0.25">
      <c r="E31" s="11"/>
    </row>
    <row r="33" spans="2:5" x14ac:dyDescent="0.25">
      <c r="E33" s="11"/>
    </row>
    <row r="34" spans="2:5" x14ac:dyDescent="0.25">
      <c r="B34" s="49"/>
      <c r="C34" s="49"/>
      <c r="D34" s="49"/>
      <c r="E34" s="11"/>
    </row>
    <row r="35" spans="2:5" x14ac:dyDescent="0.25">
      <c r="B35" s="50"/>
      <c r="C35" s="51"/>
      <c r="D35" s="51"/>
      <c r="E35" s="11"/>
    </row>
    <row r="36" spans="2:5" x14ac:dyDescent="0.25">
      <c r="B36" s="50"/>
      <c r="C36" s="51"/>
      <c r="D36" s="51"/>
      <c r="E36" s="11"/>
    </row>
    <row r="37" spans="2:5" x14ac:dyDescent="0.25">
      <c r="B37" s="50"/>
      <c r="C37" s="51"/>
      <c r="D37" s="51"/>
      <c r="E37" s="11"/>
    </row>
    <row r="38" spans="2:5" x14ac:dyDescent="0.25">
      <c r="B38" s="50"/>
      <c r="C38" s="51"/>
      <c r="D38" s="51"/>
      <c r="E38" s="11"/>
    </row>
    <row r="39" spans="2:5" x14ac:dyDescent="0.25">
      <c r="B39" s="50"/>
      <c r="C39" s="51"/>
      <c r="D39" s="51"/>
      <c r="E39" s="11"/>
    </row>
    <row r="40" spans="2:5" x14ac:dyDescent="0.25">
      <c r="B40" s="50"/>
      <c r="C40" s="51"/>
      <c r="D40" s="51"/>
      <c r="E40" s="11"/>
    </row>
    <row r="41" spans="2:5" x14ac:dyDescent="0.25">
      <c r="B41" s="50"/>
      <c r="C41" s="51"/>
      <c r="D41" s="51"/>
      <c r="E41" s="11"/>
    </row>
    <row r="42" spans="2:5" x14ac:dyDescent="0.25">
      <c r="B42" s="50"/>
      <c r="C42" s="51"/>
      <c r="D42" s="51"/>
      <c r="E42" s="11"/>
    </row>
    <row r="43" spans="2:5" x14ac:dyDescent="0.25">
      <c r="B43" s="50"/>
      <c r="C43" s="51"/>
      <c r="D43" s="51"/>
      <c r="E43" s="11"/>
    </row>
    <row r="44" spans="2:5" x14ac:dyDescent="0.25">
      <c r="B44" s="50"/>
      <c r="C44" s="51"/>
      <c r="D44" s="51"/>
      <c r="E44" s="11"/>
    </row>
    <row r="45" spans="2:5" x14ac:dyDescent="0.25">
      <c r="B45" s="50"/>
      <c r="C45" s="51"/>
      <c r="D45" s="51"/>
      <c r="E45" s="11"/>
    </row>
    <row r="46" spans="2:5" x14ac:dyDescent="0.25">
      <c r="B46" s="50"/>
      <c r="C46" s="51"/>
      <c r="D46" s="51"/>
      <c r="E46" s="11"/>
    </row>
    <row r="47" spans="2:5" x14ac:dyDescent="0.25">
      <c r="B47" s="50"/>
      <c r="C47" s="51"/>
      <c r="D47" s="51"/>
      <c r="E47" s="11"/>
    </row>
    <row r="48" spans="2:5" x14ac:dyDescent="0.25">
      <c r="B48" s="50"/>
      <c r="C48" s="51"/>
      <c r="D48" s="51"/>
    </row>
    <row r="49" spans="2:4" x14ac:dyDescent="0.25">
      <c r="B49" s="50"/>
      <c r="C49" s="51"/>
      <c r="D49" s="51"/>
    </row>
    <row r="50" spans="2:4" x14ac:dyDescent="0.25">
      <c r="B50" s="50"/>
      <c r="C50" s="51"/>
      <c r="D50" s="51"/>
    </row>
    <row r="51" spans="2:4" x14ac:dyDescent="0.25">
      <c r="B51" s="50"/>
      <c r="C51" s="51"/>
      <c r="D51" s="51"/>
    </row>
    <row r="52" spans="2:4" x14ac:dyDescent="0.25">
      <c r="B52" s="50"/>
      <c r="C52" s="51"/>
      <c r="D52" s="51"/>
    </row>
    <row r="53" spans="2:4" x14ac:dyDescent="0.25">
      <c r="B53" s="50"/>
      <c r="C53" s="51"/>
      <c r="D53" s="51"/>
    </row>
    <row r="54" spans="2:4" x14ac:dyDescent="0.25">
      <c r="B54" s="50"/>
      <c r="C54" s="51"/>
      <c r="D54" s="51"/>
    </row>
    <row r="55" spans="2:4" x14ac:dyDescent="0.25">
      <c r="B55" s="50"/>
      <c r="C55" s="51"/>
      <c r="D55" s="51"/>
    </row>
    <row r="56" spans="2:4" x14ac:dyDescent="0.25">
      <c r="B56" s="50"/>
      <c r="C56" s="51"/>
      <c r="D56" s="51"/>
    </row>
    <row r="57" spans="2:4" x14ac:dyDescent="0.25">
      <c r="B57" s="50"/>
      <c r="C57" s="51"/>
      <c r="D57" s="51"/>
    </row>
    <row r="58" spans="2:4" x14ac:dyDescent="0.25">
      <c r="B58" s="50"/>
      <c r="C58" s="51"/>
      <c r="D58" s="51"/>
    </row>
    <row r="59" spans="2:4" x14ac:dyDescent="0.25">
      <c r="B59" s="50"/>
      <c r="C59" s="51"/>
      <c r="D59" s="51"/>
    </row>
    <row r="60" spans="2:4" x14ac:dyDescent="0.25">
      <c r="B60" s="50"/>
      <c r="C60" s="51"/>
      <c r="D60" s="51"/>
    </row>
    <row r="61" spans="2:4" x14ac:dyDescent="0.25">
      <c r="B61" s="50"/>
      <c r="C61" s="51"/>
      <c r="D61" s="51"/>
    </row>
    <row r="62" spans="2:4" x14ac:dyDescent="0.25">
      <c r="B62" s="50"/>
      <c r="C62" s="51"/>
      <c r="D62" s="51"/>
    </row>
    <row r="63" spans="2:4" x14ac:dyDescent="0.25">
      <c r="B63" s="50"/>
      <c r="C63" s="51"/>
      <c r="D63" s="51"/>
    </row>
    <row r="64" spans="2:4" x14ac:dyDescent="0.25">
      <c r="B64" s="50"/>
      <c r="C64" s="51"/>
      <c r="D64" s="51"/>
    </row>
    <row r="65" spans="2:4" x14ac:dyDescent="0.25">
      <c r="B65" s="50"/>
      <c r="C65" s="51"/>
      <c r="D65" s="51"/>
    </row>
    <row r="66" spans="2:4" x14ac:dyDescent="0.25">
      <c r="B66" s="50"/>
      <c r="C66" s="51"/>
      <c r="D66" s="51"/>
    </row>
    <row r="67" spans="2:4" x14ac:dyDescent="0.25">
      <c r="B67" s="50"/>
      <c r="C67" s="51"/>
      <c r="D67" s="51"/>
    </row>
    <row r="68" spans="2:4" x14ac:dyDescent="0.25">
      <c r="B68" s="50"/>
      <c r="C68" s="51"/>
      <c r="D68" s="51"/>
    </row>
    <row r="69" spans="2:4" x14ac:dyDescent="0.25">
      <c r="B69" s="50"/>
      <c r="C69" s="51"/>
      <c r="D69" s="51"/>
    </row>
    <row r="70" spans="2:4" x14ac:dyDescent="0.25">
      <c r="B70" s="50"/>
      <c r="C70" s="51"/>
      <c r="D70" s="51"/>
    </row>
  </sheetData>
  <phoneticPr fontId="6" type="noConversion"/>
  <conditionalFormatting sqref="D4:D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ACAF2-C0FE-41CA-86D9-8886437B0353}">
  <dimension ref="A1:C37"/>
  <sheetViews>
    <sheetView zoomScale="130" zoomScaleNormal="130" workbookViewId="0">
      <selection sqref="A1:C5"/>
    </sheetView>
  </sheetViews>
  <sheetFormatPr defaultRowHeight="15" x14ac:dyDescent="0.25"/>
  <cols>
    <col min="1" max="1" width="11.42578125" bestFit="1" customWidth="1"/>
    <col min="2" max="2" width="7" bestFit="1" customWidth="1"/>
    <col min="3" max="3" width="14.7109375" bestFit="1" customWidth="1"/>
  </cols>
  <sheetData>
    <row r="1" spans="1:3" x14ac:dyDescent="0.25">
      <c r="A1" s="49" t="s">
        <v>197</v>
      </c>
      <c r="B1" s="49" t="s">
        <v>198</v>
      </c>
      <c r="C1" s="49" t="s">
        <v>199</v>
      </c>
    </row>
    <row r="2" spans="1:3" x14ac:dyDescent="0.25">
      <c r="A2" s="50">
        <v>44197</v>
      </c>
      <c r="B2" s="51">
        <v>53.6</v>
      </c>
      <c r="C2" s="51" t="s">
        <v>139</v>
      </c>
    </row>
    <row r="3" spans="1:3" x14ac:dyDescent="0.25">
      <c r="A3" s="50">
        <v>44228</v>
      </c>
      <c r="B3" s="51">
        <v>60.46</v>
      </c>
      <c r="C3" s="51">
        <v>12.78</v>
      </c>
    </row>
    <row r="4" spans="1:3" x14ac:dyDescent="0.25">
      <c r="A4" s="50">
        <v>44256</v>
      </c>
      <c r="B4" s="51">
        <v>63.83</v>
      </c>
      <c r="C4" s="51">
        <v>5.63</v>
      </c>
    </row>
    <row r="5" spans="1:3" x14ac:dyDescent="0.25">
      <c r="A5" s="50">
        <v>44287</v>
      </c>
      <c r="B5" s="51">
        <v>62.95</v>
      </c>
      <c r="C5" s="51">
        <v>-1.38</v>
      </c>
    </row>
    <row r="6" spans="1:3" x14ac:dyDescent="0.25">
      <c r="A6" s="50">
        <v>44317</v>
      </c>
      <c r="B6" s="51">
        <v>66.400000000000006</v>
      </c>
      <c r="C6" s="51">
        <v>5.48</v>
      </c>
    </row>
    <row r="7" spans="1:3" x14ac:dyDescent="0.25">
      <c r="A7" s="50">
        <v>44348</v>
      </c>
      <c r="B7" s="51">
        <v>71.8</v>
      </c>
      <c r="C7" s="51">
        <v>8.1300000000000008</v>
      </c>
    </row>
    <row r="8" spans="1:3" x14ac:dyDescent="0.25">
      <c r="A8" s="50">
        <v>44378</v>
      </c>
      <c r="B8" s="51">
        <v>73.28</v>
      </c>
      <c r="C8" s="51">
        <v>2.0299999999999998</v>
      </c>
    </row>
    <row r="9" spans="1:3" x14ac:dyDescent="0.25">
      <c r="A9" s="50">
        <v>44409</v>
      </c>
      <c r="B9" s="51">
        <v>68.87</v>
      </c>
      <c r="C9" s="51">
        <v>-6</v>
      </c>
    </row>
    <row r="10" spans="1:3" x14ac:dyDescent="0.25">
      <c r="A10" s="50">
        <v>44440</v>
      </c>
      <c r="B10" s="51">
        <v>72.8</v>
      </c>
      <c r="C10" s="51">
        <v>5.74</v>
      </c>
    </row>
    <row r="11" spans="1:3" x14ac:dyDescent="0.25">
      <c r="A11" s="50">
        <v>44470</v>
      </c>
      <c r="B11" s="51">
        <v>82.06</v>
      </c>
      <c r="C11" s="51">
        <v>12.69</v>
      </c>
    </row>
    <row r="12" spans="1:3" x14ac:dyDescent="0.25">
      <c r="A12" s="50">
        <v>44501</v>
      </c>
      <c r="B12" s="51">
        <v>79.92</v>
      </c>
      <c r="C12" s="51">
        <v>-2.6</v>
      </c>
    </row>
    <row r="13" spans="1:3" x14ac:dyDescent="0.25">
      <c r="A13" s="50">
        <v>44531</v>
      </c>
      <c r="B13" s="51">
        <v>72.87</v>
      </c>
      <c r="C13" s="51">
        <v>-8.8000000000000007</v>
      </c>
    </row>
    <row r="14" spans="1:3" x14ac:dyDescent="0.25">
      <c r="A14" s="50">
        <v>44562</v>
      </c>
      <c r="B14" s="51">
        <v>83.92</v>
      </c>
      <c r="C14" s="51">
        <v>15.18</v>
      </c>
    </row>
    <row r="15" spans="1:3" x14ac:dyDescent="0.25">
      <c r="A15" s="50">
        <v>44593</v>
      </c>
      <c r="B15" s="51">
        <v>93.54</v>
      </c>
      <c r="C15" s="51">
        <v>11.43</v>
      </c>
    </row>
    <row r="16" spans="1:3" x14ac:dyDescent="0.25">
      <c r="A16" s="50">
        <v>44621</v>
      </c>
      <c r="B16" s="51">
        <v>112.4</v>
      </c>
      <c r="C16" s="51">
        <v>20.149999999999999</v>
      </c>
    </row>
    <row r="17" spans="1:3" x14ac:dyDescent="0.25">
      <c r="A17" s="50">
        <v>44652</v>
      </c>
      <c r="B17" s="51">
        <v>103.41</v>
      </c>
      <c r="C17" s="51">
        <v>-8</v>
      </c>
    </row>
    <row r="18" spans="1:3" x14ac:dyDescent="0.25">
      <c r="A18" s="50">
        <v>44682</v>
      </c>
      <c r="B18" s="51">
        <v>110.1</v>
      </c>
      <c r="C18" s="51">
        <v>6.49</v>
      </c>
    </row>
    <row r="19" spans="1:3" x14ac:dyDescent="0.25">
      <c r="A19" s="50">
        <v>44713</v>
      </c>
      <c r="B19" s="51">
        <v>116.8</v>
      </c>
      <c r="C19" s="51">
        <v>6.08</v>
      </c>
    </row>
    <row r="20" spans="1:3" x14ac:dyDescent="0.25">
      <c r="A20" s="50">
        <v>44743</v>
      </c>
      <c r="B20" s="51">
        <v>105.08</v>
      </c>
      <c r="C20" s="51">
        <v>-10.050000000000001</v>
      </c>
    </row>
    <row r="21" spans="1:3" x14ac:dyDescent="0.25">
      <c r="A21" s="50">
        <v>44774</v>
      </c>
      <c r="B21" s="51">
        <v>95.97</v>
      </c>
      <c r="C21" s="51">
        <v>-8.64</v>
      </c>
    </row>
    <row r="22" spans="1:3" x14ac:dyDescent="0.25">
      <c r="A22" s="50">
        <v>44805</v>
      </c>
      <c r="B22" s="51">
        <v>88.22</v>
      </c>
      <c r="C22" s="51">
        <v>-8.0500000000000007</v>
      </c>
    </row>
    <row r="23" spans="1:3" x14ac:dyDescent="0.25">
      <c r="A23" s="50">
        <v>44835</v>
      </c>
      <c r="B23" s="51">
        <v>90.33</v>
      </c>
      <c r="C23" s="51">
        <v>2.4</v>
      </c>
    </row>
    <row r="24" spans="1:3" x14ac:dyDescent="0.25">
      <c r="A24" s="50">
        <v>44866</v>
      </c>
      <c r="B24" s="51">
        <v>87.38</v>
      </c>
      <c r="C24" s="51">
        <v>-3.26</v>
      </c>
    </row>
    <row r="25" spans="1:3" x14ac:dyDescent="0.25">
      <c r="A25" s="50">
        <v>44896</v>
      </c>
      <c r="B25" s="51">
        <v>78.069999999999993</v>
      </c>
      <c r="C25" s="51">
        <v>-10.64</v>
      </c>
    </row>
    <row r="26" spans="1:3" x14ac:dyDescent="0.25">
      <c r="A26" s="50">
        <v>44927</v>
      </c>
      <c r="B26" s="51">
        <v>80.41</v>
      </c>
      <c r="C26" s="51">
        <v>3</v>
      </c>
    </row>
    <row r="27" spans="1:3" x14ac:dyDescent="0.25">
      <c r="A27" s="50">
        <v>44958</v>
      </c>
      <c r="B27" s="51">
        <v>80.25</v>
      </c>
      <c r="C27" s="51">
        <v>-0.2</v>
      </c>
    </row>
    <row r="28" spans="1:3" x14ac:dyDescent="0.25">
      <c r="A28" s="50">
        <v>44986</v>
      </c>
      <c r="B28" s="51">
        <v>76.47</v>
      </c>
      <c r="C28" s="51">
        <v>-4.7</v>
      </c>
    </row>
    <row r="29" spans="1:3" x14ac:dyDescent="0.25">
      <c r="A29" s="50">
        <v>45017</v>
      </c>
      <c r="B29" s="51">
        <v>82.46</v>
      </c>
      <c r="C29" s="51">
        <v>7.8</v>
      </c>
    </row>
    <row r="30" spans="1:3" x14ac:dyDescent="0.25">
      <c r="A30" s="50">
        <v>45047</v>
      </c>
      <c r="B30" s="51">
        <v>74.12</v>
      </c>
      <c r="C30" s="51">
        <v>-10.1</v>
      </c>
    </row>
    <row r="31" spans="1:3" x14ac:dyDescent="0.25">
      <c r="A31" s="50">
        <v>45078</v>
      </c>
      <c r="B31" s="51">
        <v>73.260000000000005</v>
      </c>
      <c r="C31" s="51">
        <v>-1.17</v>
      </c>
    </row>
    <row r="32" spans="1:3" x14ac:dyDescent="0.25">
      <c r="A32" s="50">
        <v>45108</v>
      </c>
      <c r="B32" s="51">
        <v>78.98</v>
      </c>
      <c r="C32" s="51">
        <v>7.81</v>
      </c>
    </row>
    <row r="33" spans="1:3" x14ac:dyDescent="0.25">
      <c r="A33" s="50">
        <v>45139</v>
      </c>
      <c r="B33" s="51">
        <v>84.72</v>
      </c>
      <c r="C33" s="51">
        <v>7.27</v>
      </c>
    </row>
    <row r="34" spans="1:3" x14ac:dyDescent="0.25">
      <c r="A34" s="50">
        <v>45170</v>
      </c>
      <c r="B34" s="51">
        <v>92.22</v>
      </c>
      <c r="C34" s="51">
        <v>8.86</v>
      </c>
    </row>
    <row r="35" spans="1:3" x14ac:dyDescent="0.25">
      <c r="A35" s="50">
        <v>45200</v>
      </c>
      <c r="B35" s="51">
        <v>89.08</v>
      </c>
      <c r="C35" s="51">
        <v>-3.34</v>
      </c>
    </row>
    <row r="36" spans="1:3" x14ac:dyDescent="0.25">
      <c r="A36" s="50">
        <v>45231</v>
      </c>
      <c r="B36" s="51">
        <v>81.349999999999994</v>
      </c>
      <c r="C36" s="51">
        <v>-8.68</v>
      </c>
    </row>
    <row r="37" spans="1:3" x14ac:dyDescent="0.25">
      <c r="A37" s="50">
        <v>45261</v>
      </c>
      <c r="B37" s="51">
        <v>75.72</v>
      </c>
      <c r="C37" s="51">
        <v>-6.95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FB120-0524-4807-8E9F-B4D52D72C0C9}">
  <dimension ref="A1:AC7"/>
  <sheetViews>
    <sheetView topLeftCell="A10" workbookViewId="0">
      <selection activeCell="O32" sqref="O32"/>
    </sheetView>
  </sheetViews>
  <sheetFormatPr defaultRowHeight="15" x14ac:dyDescent="0.25"/>
  <cols>
    <col min="1" max="1" width="14.7109375" customWidth="1"/>
    <col min="4" max="4" width="20" bestFit="1" customWidth="1"/>
    <col min="15" max="15" width="33.42578125" bestFit="1" customWidth="1"/>
    <col min="17" max="17" width="14.140625" customWidth="1"/>
    <col min="22" max="28" width="9.140625" customWidth="1"/>
    <col min="29" max="29" width="13.1406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</row>
    <row r="2" spans="1:29" x14ac:dyDescent="0.25">
      <c r="A2" t="s">
        <v>30</v>
      </c>
      <c r="B2">
        <v>2020</v>
      </c>
      <c r="C2" t="s">
        <v>41</v>
      </c>
      <c r="D2" s="2">
        <f>AVERAGEIF('Working Data'!$A$260:$A$260,$A$2,'Working Data'!D260:D260)</f>
        <v>148.19999999999999</v>
      </c>
      <c r="E2" s="2">
        <f>AVERAGEIF('Working Data'!$A$260:$A$260,$A$2,'Working Data'!E260:E260)</f>
        <v>190.3</v>
      </c>
      <c r="F2" s="2">
        <f>AVERAGEIF('Working Data'!$A$260:$A$260,$A$2,'Working Data'!F260:F260)</f>
        <v>149.4</v>
      </c>
      <c r="G2" s="2">
        <f>AVERAGEIF('Working Data'!$A$260:$A$260,$A$2,'Working Data'!G260:G260)</f>
        <v>153.30000000000001</v>
      </c>
      <c r="H2" s="2">
        <f>AVERAGEIF('Working Data'!$A$260:$A$260,$A$2,'Working Data'!H260:H260)</f>
        <v>138.19999999999999</v>
      </c>
      <c r="I2" s="2">
        <f>AVERAGEIF('Working Data'!$A$260:$A$260,$A$2,'Working Data'!I260:I260)</f>
        <v>143.19999999999999</v>
      </c>
      <c r="J2" s="2">
        <f>AVERAGEIF('Working Data'!$A$260:$A$260,$A$2,'Working Data'!J260:J260)</f>
        <v>148.9</v>
      </c>
      <c r="K2" s="2">
        <f>AVERAGEIF('Working Data'!$A$260:$A$260,$A$2,'Working Data'!K260:K260)</f>
        <v>150.30000000000001</v>
      </c>
      <c r="L2" s="2">
        <f>AVERAGEIF('Working Data'!$A$260:$A$260,$A$2,'Working Data'!L260:L260)</f>
        <v>113.2</v>
      </c>
      <c r="M2" s="2">
        <f>AVERAGEIF('Working Data'!$A$260:$A$260,$A$2,'Working Data'!M260:M260)</f>
        <v>159.80000000000001</v>
      </c>
      <c r="N2" s="2">
        <f>AVERAGEIF('Working Data'!$A$260:$A$260,$A$2,'Working Data'!N260:N260)</f>
        <v>142.1</v>
      </c>
      <c r="O2" s="2">
        <f>AVERAGEIF('Working Data'!$A$260:$A$260,$A$2,'Working Data'!O260:O260)</f>
        <v>161.80000000000001</v>
      </c>
      <c r="P2" s="2">
        <f>AVERAGEIF('Working Data'!$A$260:$A$260,$A$2,'Working Data'!P260:P260)</f>
        <v>152.30000000000001</v>
      </c>
      <c r="Q2" s="2">
        <f>AVERAGEIF('Working Data'!$A$260:$A$260,$A$2,'Working Data'!Q260:Q260)</f>
        <v>182.4</v>
      </c>
      <c r="R2" s="2">
        <f>AVERAGEIF('Working Data'!$A$260:$A$260,$A$2,'Working Data'!R260:R260)</f>
        <v>154.69999999999999</v>
      </c>
      <c r="S2" s="2">
        <f>AVERAGEIF('Working Data'!$A$260:$A$260,$A$2,'Working Data'!S260:S260)</f>
        <v>150</v>
      </c>
      <c r="T2" s="2">
        <f>AVERAGEIF('Working Data'!$A$260:$A$260,$A$2,'Working Data'!T260:T260)</f>
        <v>154.1</v>
      </c>
      <c r="U2" s="2" t="e">
        <f>AVERAGEIF('Working Data'!$A$260:$A$260,$A$2,'Working Data'!U260:U260)</f>
        <v>#DIV/0!</v>
      </c>
      <c r="V2" s="2">
        <f>AVERAGEIF('Working Data'!$A$260:$A$260,$A$2,'Working Data'!V260:V260)</f>
        <v>144.9</v>
      </c>
      <c r="W2" s="2">
        <f>AVERAGEIF('Working Data'!$A$260:$A$260,$A$2,'Working Data'!W260:W260)</f>
        <v>151.69999999999999</v>
      </c>
      <c r="X2" s="2">
        <f>AVERAGEIF('Working Data'!$A$260:$A$260,$A$2,'Working Data'!X260:X260)</f>
        <v>158.19999999999999</v>
      </c>
      <c r="Y2" s="2">
        <f>AVERAGEIF('Working Data'!$A$260:$A$260,$A$2,'Working Data'!Y260:Y260)</f>
        <v>141.4</v>
      </c>
      <c r="Z2" s="2">
        <f>AVERAGEIF('Working Data'!$A$260:$A$260,$A$2,'Working Data'!Z260:Z260)</f>
        <v>153.19999999999999</v>
      </c>
      <c r="AA2" s="2">
        <f>AVERAGEIF('Working Data'!$A$260:$A$260,$A$2,'Working Data'!AA260:AA260)</f>
        <v>161.80000000000001</v>
      </c>
      <c r="AB2" s="2">
        <f>AVERAGEIF('Working Data'!$A$260:$A$260,$A$2,'Working Data'!AB260:AB260)</f>
        <v>151.19999999999999</v>
      </c>
      <c r="AC2" s="2">
        <f>AVERAGEIF('Working Data'!$A$260:$A$260,$A$2,'Working Data'!AC260:AC260)</f>
        <v>151.69999999999999</v>
      </c>
    </row>
    <row r="3" spans="1:29" x14ac:dyDescent="0.25">
      <c r="A3" t="s">
        <v>33</v>
      </c>
      <c r="B3">
        <v>2020</v>
      </c>
      <c r="C3" t="s">
        <v>41</v>
      </c>
      <c r="D3" s="2" t="e">
        <f>AVERAGEIF('Working Data'!$A$260:$A$260,$A$3,'Working Data'!D260:D261)</f>
        <v>#DIV/0!</v>
      </c>
      <c r="E3" s="2" t="e">
        <f>AVERAGEIF('Working Data'!$A$260:$A$260,$A$3,'Working Data'!E260:E261)</f>
        <v>#DIV/0!</v>
      </c>
      <c r="F3" s="2" t="e">
        <f>AVERAGEIF('Working Data'!$A$260:$A$260,$A$3,'Working Data'!F260:F261)</f>
        <v>#DIV/0!</v>
      </c>
      <c r="G3" s="2" t="e">
        <f>AVERAGEIF('Working Data'!$A$260:$A$260,$A$3,'Working Data'!G260:G261)</f>
        <v>#DIV/0!</v>
      </c>
      <c r="H3" s="2" t="e">
        <f>AVERAGEIF('Working Data'!$A$260:$A$260,$A$3,'Working Data'!H260:H261)</f>
        <v>#DIV/0!</v>
      </c>
      <c r="I3" s="2" t="e">
        <f>AVERAGEIF('Working Data'!$A$260:$A$260,$A$3,'Working Data'!I260:I261)</f>
        <v>#DIV/0!</v>
      </c>
      <c r="J3" s="2" t="e">
        <f>AVERAGEIF('Working Data'!$A$260:$A$260,$A$3,'Working Data'!J260:J261)</f>
        <v>#DIV/0!</v>
      </c>
      <c r="K3" s="2" t="e">
        <f>AVERAGEIF('Working Data'!$A$260:$A$260,$A$3,'Working Data'!K260:K261)</f>
        <v>#DIV/0!</v>
      </c>
      <c r="L3" s="2" t="e">
        <f>AVERAGEIF('Working Data'!$A$260:$A$260,$A$3,'Working Data'!L260:L261)</f>
        <v>#DIV/0!</v>
      </c>
      <c r="M3" s="2" t="e">
        <f>AVERAGEIF('Working Data'!$A$260:$A$260,$A$3,'Working Data'!M260:M261)</f>
        <v>#DIV/0!</v>
      </c>
      <c r="N3" s="2" t="e">
        <f>AVERAGEIF('Working Data'!$A$260:$A$260,$A$3,'Working Data'!N260:N261)</f>
        <v>#DIV/0!</v>
      </c>
      <c r="O3" s="2" t="e">
        <f>AVERAGEIF('Working Data'!$A$260:$A$260,$A$3,'Working Data'!O260:O261)</f>
        <v>#DIV/0!</v>
      </c>
      <c r="P3" s="2" t="e">
        <f>AVERAGEIF('Working Data'!$A$260:$A$260,$A$3,'Working Data'!P260:P261)</f>
        <v>#DIV/0!</v>
      </c>
      <c r="Q3" s="2" t="e">
        <f>AVERAGEIF('Working Data'!$A$260:$A$260,$A$3,'Working Data'!Q260:Q261)</f>
        <v>#DIV/0!</v>
      </c>
      <c r="R3" s="2" t="e">
        <f>AVERAGEIF('Working Data'!$A$260:$A$260,$A$3,'Working Data'!R260:R261)</f>
        <v>#DIV/0!</v>
      </c>
      <c r="S3" s="2" t="e">
        <f>AVERAGEIF('Working Data'!$A$260:$A$260,$A$3,'Working Data'!S260:S261)</f>
        <v>#DIV/0!</v>
      </c>
      <c r="T3" s="2" t="e">
        <f>AVERAGEIF('Working Data'!$A$260:$A$260,$A$3,'Working Data'!T260:T261)</f>
        <v>#DIV/0!</v>
      </c>
      <c r="U3" s="2" t="e">
        <f>AVERAGEIF('Working Data'!$A$260:$A$260,$A$3,'Working Data'!U260:U261)</f>
        <v>#DIV/0!</v>
      </c>
      <c r="V3" s="2" t="e">
        <f>AVERAGEIF('Working Data'!$A$260:$A$260,$A$3,'Working Data'!V260:V261)</f>
        <v>#DIV/0!</v>
      </c>
      <c r="W3" s="2" t="e">
        <f>AVERAGEIF('Working Data'!$A$260:$A$260,$A$3,'Working Data'!W260:W261)</f>
        <v>#DIV/0!</v>
      </c>
      <c r="X3" s="2" t="e">
        <f>AVERAGEIF('Working Data'!$A$260:$A$260,$A$3,'Working Data'!X260:X261)</f>
        <v>#DIV/0!</v>
      </c>
      <c r="Y3" s="2" t="e">
        <f>AVERAGEIF('Working Data'!$A$260:$A$260,$A$3,'Working Data'!Y260:Y261)</f>
        <v>#DIV/0!</v>
      </c>
      <c r="Z3" s="2" t="e">
        <f>AVERAGEIF('Working Data'!$A$260:$A$260,$A$3,'Working Data'!Z260:Z261)</f>
        <v>#DIV/0!</v>
      </c>
      <c r="AA3" s="2" t="e">
        <f>AVERAGEIF('Working Data'!$A$260:$A$260,$A$3,'Working Data'!AA260:AA261)</f>
        <v>#DIV/0!</v>
      </c>
      <c r="AB3" s="2" t="e">
        <f>AVERAGEIF('Working Data'!$A$260:$A$260,$A$3,'Working Data'!AB260:AB261)</f>
        <v>#DIV/0!</v>
      </c>
      <c r="AC3" s="2" t="e">
        <f>AVERAGEIF('Working Data'!$A$260:$A$260,$A$3,'Working Data'!AC260:AC261)</f>
        <v>#DIV/0!</v>
      </c>
    </row>
    <row r="4" spans="1:29" x14ac:dyDescent="0.25">
      <c r="A4" t="s">
        <v>35</v>
      </c>
      <c r="B4">
        <v>2020</v>
      </c>
      <c r="C4" t="s">
        <v>41</v>
      </c>
      <c r="D4" s="2" t="e">
        <f>AVERAGEIF('Working Data'!$A$260:$A$260,$A$4,'Working Data'!D260:D262)</f>
        <v>#DIV/0!</v>
      </c>
      <c r="E4" s="2" t="e">
        <f>AVERAGEIF('Working Data'!$A$260:$A$260,$A$4,'Working Data'!E260:E262)</f>
        <v>#DIV/0!</v>
      </c>
      <c r="F4" s="2" t="e">
        <f>AVERAGEIF('Working Data'!$A$260:$A$260,$A$4,'Working Data'!F260:F262)</f>
        <v>#DIV/0!</v>
      </c>
      <c r="G4" s="2" t="e">
        <f>AVERAGEIF('Working Data'!$A$260:$A$260,$A$4,'Working Data'!G260:G262)</f>
        <v>#DIV/0!</v>
      </c>
      <c r="H4" s="2" t="e">
        <f>AVERAGEIF('Working Data'!$A$260:$A$260,$A$4,'Working Data'!H260:H262)</f>
        <v>#DIV/0!</v>
      </c>
      <c r="I4" s="2" t="e">
        <f>AVERAGEIF('Working Data'!$A$260:$A$260,$A$4,'Working Data'!I260:I262)</f>
        <v>#DIV/0!</v>
      </c>
      <c r="J4" s="2" t="e">
        <f>AVERAGEIF('Working Data'!$A$260:$A$260,$A$4,'Working Data'!J260:J262)</f>
        <v>#DIV/0!</v>
      </c>
      <c r="K4" s="2" t="e">
        <f>AVERAGEIF('Working Data'!$A$260:$A$260,$A$4,'Working Data'!K260:K262)</f>
        <v>#DIV/0!</v>
      </c>
      <c r="L4" s="2" t="e">
        <f>AVERAGEIF('Working Data'!$A$260:$A$260,$A$4,'Working Data'!L260:L262)</f>
        <v>#DIV/0!</v>
      </c>
      <c r="M4" s="2" t="e">
        <f>AVERAGEIF('Working Data'!$A$260:$A$260,$A$4,'Working Data'!M260:M262)</f>
        <v>#DIV/0!</v>
      </c>
      <c r="N4" s="2" t="e">
        <f>AVERAGEIF('Working Data'!$A$260:$A$260,$A$4,'Working Data'!N260:N262)</f>
        <v>#DIV/0!</v>
      </c>
      <c r="O4" s="2" t="e">
        <f>AVERAGEIF('Working Data'!$A$260:$A$260,$A$4,'Working Data'!O260:O262)</f>
        <v>#DIV/0!</v>
      </c>
      <c r="P4" s="2" t="e">
        <f>AVERAGEIF('Working Data'!$A$260:$A$260,$A$4,'Working Data'!P260:P262)</f>
        <v>#DIV/0!</v>
      </c>
      <c r="Q4" s="2" t="e">
        <f>AVERAGEIF('Working Data'!$A$260:$A$260,$A$4,'Working Data'!Q260:Q262)</f>
        <v>#DIV/0!</v>
      </c>
      <c r="R4" s="2" t="e">
        <f>AVERAGEIF('Working Data'!$A$260:$A$260,$A$4,'Working Data'!R260:R262)</f>
        <v>#DIV/0!</v>
      </c>
      <c r="S4" s="2" t="e">
        <f>AVERAGEIF('Working Data'!$A$260:$A$260,$A$4,'Working Data'!S260:S262)</f>
        <v>#DIV/0!</v>
      </c>
      <c r="T4" s="2" t="e">
        <f>AVERAGEIF('Working Data'!$A$260:$A$260,$A$4,'Working Data'!T260:T262)</f>
        <v>#DIV/0!</v>
      </c>
      <c r="U4" s="2" t="e">
        <f>AVERAGEIF('Working Data'!$A$260:$A$260,$A$4,'Working Data'!U260:U262)</f>
        <v>#DIV/0!</v>
      </c>
      <c r="V4" s="2" t="e">
        <f>AVERAGEIF('Working Data'!$A$260:$A$260,$A$4,'Working Data'!V260:V262)</f>
        <v>#DIV/0!</v>
      </c>
      <c r="W4" s="2" t="e">
        <f>AVERAGEIF('Working Data'!$A$260:$A$260,$A$4,'Working Data'!W260:W262)</f>
        <v>#DIV/0!</v>
      </c>
      <c r="X4" s="2" t="e">
        <f>AVERAGEIF('Working Data'!$A$260:$A$260,$A$4,'Working Data'!X260:X262)</f>
        <v>#DIV/0!</v>
      </c>
      <c r="Y4" s="2" t="e">
        <f>AVERAGEIF('Working Data'!$A$260:$A$260,$A$4,'Working Data'!Y260:Y262)</f>
        <v>#DIV/0!</v>
      </c>
      <c r="Z4" s="2" t="e">
        <f>AVERAGEIF('Working Data'!$A$260:$A$260,$A$4,'Working Data'!Z260:Z262)</f>
        <v>#DIV/0!</v>
      </c>
      <c r="AA4" s="2" t="e">
        <f>AVERAGEIF('Working Data'!$A$260:$A$260,$A$4,'Working Data'!AA260:AA262)</f>
        <v>#DIV/0!</v>
      </c>
      <c r="AB4" s="2" t="e">
        <f>AVERAGEIF('Working Data'!$A$260:$A$260,$A$4,'Working Data'!AB260:AB262)</f>
        <v>#DIV/0!</v>
      </c>
      <c r="AC4" s="2" t="e">
        <f>AVERAGEIF('Working Data'!$A$260:$A$260,$A$4,'Working Data'!AC260:AC262)</f>
        <v>#DIV/0!</v>
      </c>
    </row>
    <row r="5" spans="1:29" ht="15.75" thickBot="1" x14ac:dyDescent="0.3"/>
    <row r="6" spans="1:29" x14ac:dyDescent="0.25">
      <c r="K6" s="4" t="s">
        <v>165</v>
      </c>
      <c r="L6" s="5"/>
      <c r="M6" s="5"/>
      <c r="N6" s="5"/>
      <c r="O6" s="5"/>
      <c r="P6" s="5"/>
      <c r="Q6" s="6"/>
    </row>
    <row r="7" spans="1:29" ht="15.75" thickBot="1" x14ac:dyDescent="0.3">
      <c r="K7" s="7"/>
      <c r="L7" s="8"/>
      <c r="M7" s="9" t="s">
        <v>166</v>
      </c>
      <c r="N7" s="8"/>
      <c r="O7" s="8"/>
      <c r="P7" s="8"/>
      <c r="Q7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3CADED-F68E-45EC-81B2-C4E0C94695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31</vt:i4>
      </vt:variant>
    </vt:vector>
  </HeadingPairs>
  <TitlesOfParts>
    <vt:vector size="41" baseType="lpstr">
      <vt:lpstr>All_India_Index_Upto_April23 (1</vt:lpstr>
      <vt:lpstr>Working Data</vt:lpstr>
      <vt:lpstr>Problems</vt:lpstr>
      <vt:lpstr>1 .Broader categories</vt:lpstr>
      <vt:lpstr>2 .Y-O-Y CPI</vt:lpstr>
      <vt:lpstr>3 .Food Inflation</vt:lpstr>
      <vt:lpstr>4 .pandemic inflation</vt:lpstr>
      <vt:lpstr>5 .Oil Inflation</vt:lpstr>
      <vt:lpstr>Sheet1</vt:lpstr>
      <vt:lpstr>notes</vt:lpstr>
      <vt:lpstr>cer_pro</vt:lpstr>
      <vt:lpstr>clothing_foot</vt:lpstr>
      <vt:lpstr>clothings</vt:lpstr>
      <vt:lpstr>education</vt:lpstr>
      <vt:lpstr>egg</vt:lpstr>
      <vt:lpstr>Food_beverages</vt:lpstr>
      <vt:lpstr>Food_buckets_avg</vt:lpstr>
      <vt:lpstr>Footware</vt:lpstr>
      <vt:lpstr>fruits</vt:lpstr>
      <vt:lpstr>Fuel_lights</vt:lpstr>
      <vt:lpstr>General_index</vt:lpstr>
      <vt:lpstr>health</vt:lpstr>
      <vt:lpstr>house_goods_servies</vt:lpstr>
      <vt:lpstr>Housing</vt:lpstr>
      <vt:lpstr>meat_fish</vt:lpstr>
      <vt:lpstr>Milk_pro</vt:lpstr>
      <vt:lpstr>miscellaneous</vt:lpstr>
      <vt:lpstr>months</vt:lpstr>
      <vt:lpstr>non_alcoholic</vt:lpstr>
      <vt:lpstr>oils_fts</vt:lpstr>
      <vt:lpstr>pan_tabacco</vt:lpstr>
      <vt:lpstr>persinal_care_effects</vt:lpstr>
      <vt:lpstr>pre_meal</vt:lpstr>
      <vt:lpstr>Pulses_prod</vt:lpstr>
      <vt:lpstr>recreation_amusement</vt:lpstr>
      <vt:lpstr>sector</vt:lpstr>
      <vt:lpstr>spices</vt:lpstr>
      <vt:lpstr>sugar_confections</vt:lpstr>
      <vt:lpstr>trans_comu</vt:lpstr>
      <vt:lpstr>vegetables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Aarinthara Babu</dc:creator>
  <cp:lastModifiedBy>Aarinthara Babu</cp:lastModifiedBy>
  <dcterms:created xsi:type="dcterms:W3CDTF">2025-10-15T04:43:28Z</dcterms:created>
  <dcterms:modified xsi:type="dcterms:W3CDTF">2025-11-08T09:13:55Z</dcterms:modified>
</cp:coreProperties>
</file>